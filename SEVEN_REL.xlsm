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ablo.santos\Desktop\Sergio K\"/>
    </mc:Choice>
  </mc:AlternateContent>
  <xr:revisionPtr revIDLastSave="0" documentId="13_ncr:1_{F4D09156-D82C-44FF-9DCF-5C696A4B56C0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RELATORIO" sheetId="8" r:id="rId1"/>
    <sheet name="TAM" sheetId="10" r:id="rId2"/>
    <sheet name="RF_DEST" sheetId="19" r:id="rId3"/>
    <sheet name="Planilha1" sheetId="21" r:id="rId4"/>
    <sheet name="Tamanhos" sheetId="7" r:id="rId5"/>
    <sheet name="Cores" sheetId="5" r:id="rId6"/>
  </sheets>
  <functionGroups builtInGroupCount="19"/>
  <definedNames>
    <definedName name="_xlnm._FilterDatabase" localSheetId="5" hidden="1">Cores!$A$1:$AN$270</definedName>
    <definedName name="_xlnm._FilterDatabase" localSheetId="0" hidden="1">RELATORIO!$B$1:$B$26</definedName>
    <definedName name="SegmentaçãodeDados_BASE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</x15:slicerCaches>
    </ext>
  </extLst>
</workbook>
</file>

<file path=xl/calcChain.xml><?xml version="1.0" encoding="utf-8"?>
<calcChain xmlns="http://schemas.openxmlformats.org/spreadsheetml/2006/main">
  <c r="L3" i="19" l="1"/>
  <c r="D5" i="8"/>
  <c r="D6" i="8" s="1"/>
  <c r="J3" i="19"/>
  <c r="J4" i="19"/>
  <c r="J5" i="19"/>
  <c r="J6" i="19"/>
  <c r="J7" i="19"/>
  <c r="J8" i="19"/>
  <c r="J9" i="19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83" i="19"/>
  <c r="J84" i="19"/>
  <c r="J85" i="19"/>
  <c r="J86" i="19"/>
  <c r="J87" i="19"/>
  <c r="J88" i="19"/>
  <c r="J89" i="19"/>
  <c r="J90" i="19"/>
  <c r="J91" i="19"/>
  <c r="J92" i="19"/>
  <c r="S4" i="8"/>
  <c r="P7" i="8"/>
  <c r="C5" i="8"/>
  <c r="D7" i="8" s="1"/>
  <c r="E5" i="8"/>
  <c r="F5" i="8"/>
  <c r="G5" i="8"/>
  <c r="H5" i="8"/>
  <c r="I5" i="8"/>
  <c r="J5" i="8"/>
  <c r="K5" i="8"/>
  <c r="L5" i="8"/>
  <c r="M5" i="8"/>
  <c r="N5" i="8"/>
  <c r="O5" i="8"/>
  <c r="L4" i="19"/>
  <c r="L5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L37" i="19"/>
  <c r="L38" i="19"/>
  <c r="L39" i="19"/>
  <c r="L40" i="19"/>
  <c r="L41" i="19"/>
  <c r="L42" i="19"/>
  <c r="L43" i="19"/>
  <c r="L44" i="19"/>
  <c r="L45" i="19"/>
  <c r="L46" i="19"/>
  <c r="L47" i="19"/>
  <c r="L48" i="19"/>
  <c r="L49" i="19"/>
  <c r="L50" i="19"/>
  <c r="L51" i="19"/>
  <c r="L52" i="19"/>
  <c r="L53" i="19"/>
  <c r="L54" i="19"/>
  <c r="L55" i="19"/>
  <c r="L56" i="19"/>
  <c r="L57" i="19"/>
  <c r="L58" i="19"/>
  <c r="L59" i="19"/>
  <c r="L60" i="19"/>
  <c r="L61" i="19"/>
  <c r="L62" i="19"/>
  <c r="L63" i="19"/>
  <c r="L64" i="19"/>
  <c r="L65" i="19"/>
  <c r="L66" i="19"/>
  <c r="L67" i="19"/>
  <c r="L68" i="19"/>
  <c r="L69" i="19"/>
  <c r="L70" i="19"/>
  <c r="L71" i="19"/>
  <c r="L72" i="19"/>
  <c r="L73" i="19"/>
  <c r="L74" i="19"/>
  <c r="L75" i="19"/>
  <c r="L76" i="19"/>
  <c r="L77" i="19"/>
  <c r="L78" i="19"/>
  <c r="L79" i="19"/>
  <c r="L80" i="19"/>
  <c r="L81" i="19"/>
  <c r="L82" i="19"/>
  <c r="L83" i="19"/>
  <c r="L84" i="19"/>
  <c r="L85" i="19"/>
  <c r="L86" i="19"/>
  <c r="L87" i="19"/>
  <c r="L88" i="19"/>
  <c r="L89" i="19"/>
  <c r="L90" i="19"/>
  <c r="L91" i="19"/>
  <c r="L92" i="19"/>
  <c r="E8" i="8"/>
  <c r="D8" i="8"/>
  <c r="S7" i="8"/>
  <c r="H6" i="19"/>
  <c r="H26" i="19"/>
  <c r="H46" i="19"/>
  <c r="H66" i="19"/>
  <c r="H86" i="19"/>
  <c r="H27" i="19"/>
  <c r="H47" i="19"/>
  <c r="H67" i="19"/>
  <c r="H87" i="19"/>
  <c r="H8" i="19"/>
  <c r="H28" i="19"/>
  <c r="H48" i="19"/>
  <c r="H68" i="19"/>
  <c r="H88" i="19"/>
  <c r="H9" i="19"/>
  <c r="H29" i="19"/>
  <c r="H49" i="19"/>
  <c r="H69" i="19"/>
  <c r="H89" i="19"/>
  <c r="H10" i="19"/>
  <c r="H30" i="19"/>
  <c r="H50" i="19"/>
  <c r="H70" i="19"/>
  <c r="H90" i="19"/>
  <c r="H11" i="19"/>
  <c r="H51" i="19"/>
  <c r="H71" i="19"/>
  <c r="H12" i="19"/>
  <c r="H52" i="19"/>
  <c r="H92" i="19"/>
  <c r="H13" i="19"/>
  <c r="H53" i="19"/>
  <c r="H73" i="19"/>
  <c r="H34" i="19"/>
  <c r="H54" i="19"/>
  <c r="H15" i="19"/>
  <c r="H55" i="19"/>
  <c r="H16" i="19"/>
  <c r="H56" i="19"/>
  <c r="H17" i="19"/>
  <c r="H77" i="19"/>
  <c r="H18" i="19"/>
  <c r="H78" i="19"/>
  <c r="H19" i="19"/>
  <c r="H41" i="19"/>
  <c r="H81" i="19"/>
  <c r="H42" i="19"/>
  <c r="H82" i="19"/>
  <c r="H43" i="19"/>
  <c r="H83" i="19"/>
  <c r="H24" i="19"/>
  <c r="H44" i="19"/>
  <c r="H64" i="19"/>
  <c r="H5" i="19"/>
  <c r="H7" i="19"/>
  <c r="H31" i="19"/>
  <c r="H91" i="19"/>
  <c r="H32" i="19"/>
  <c r="H72" i="19"/>
  <c r="H33" i="19"/>
  <c r="H14" i="19"/>
  <c r="H74" i="19"/>
  <c r="H35" i="19"/>
  <c r="H75" i="19"/>
  <c r="H36" i="19"/>
  <c r="H76" i="19"/>
  <c r="H37" i="19"/>
  <c r="H57" i="19"/>
  <c r="H38" i="19"/>
  <c r="H58" i="19"/>
  <c r="H39" i="19"/>
  <c r="H59" i="19"/>
  <c r="H79" i="19"/>
  <c r="H20" i="19"/>
  <c r="H40" i="19"/>
  <c r="H60" i="19"/>
  <c r="H80" i="19"/>
  <c r="H21" i="19"/>
  <c r="H61" i="19"/>
  <c r="H22" i="19"/>
  <c r="H62" i="19"/>
  <c r="H23" i="19"/>
  <c r="H63" i="19"/>
  <c r="H4" i="19"/>
  <c r="H84" i="19"/>
  <c r="H25" i="19"/>
  <c r="H45" i="19"/>
  <c r="H65" i="19"/>
  <c r="H85" i="19"/>
  <c r="H3" i="19"/>
  <c r="G92" i="19"/>
  <c r="G91" i="19"/>
  <c r="G90" i="19"/>
  <c r="G89" i="19"/>
  <c r="G88" i="19"/>
  <c r="G87" i="19"/>
  <c r="G85" i="19"/>
  <c r="G84" i="19"/>
  <c r="G83" i="19"/>
  <c r="G82" i="19"/>
  <c r="G81" i="19"/>
  <c r="G86" i="19"/>
  <c r="G55" i="19"/>
  <c r="G53" i="19"/>
  <c r="G54" i="19"/>
  <c r="G50" i="19"/>
  <c r="G30" i="19"/>
  <c r="G47" i="19"/>
  <c r="G44" i="19"/>
  <c r="G42" i="19"/>
  <c r="G40" i="19"/>
  <c r="G37" i="19"/>
  <c r="G34" i="19"/>
  <c r="G32" i="19"/>
  <c r="G49" i="19"/>
  <c r="G29" i="19"/>
  <c r="G46" i="19"/>
  <c r="G45" i="19"/>
  <c r="G43" i="19"/>
  <c r="G41" i="19"/>
  <c r="G39" i="19"/>
  <c r="G36" i="19"/>
  <c r="G35" i="19"/>
  <c r="G33" i="19"/>
  <c r="G31" i="19"/>
  <c r="G48" i="19"/>
  <c r="G28" i="19"/>
  <c r="G38" i="19"/>
  <c r="G20" i="19"/>
  <c r="G19" i="19"/>
  <c r="G13" i="19"/>
  <c r="G14" i="19"/>
  <c r="G12" i="19"/>
  <c r="G4" i="19"/>
  <c r="G18" i="19"/>
  <c r="G74" i="19"/>
  <c r="G6" i="19"/>
  <c r="G76" i="19"/>
  <c r="G63" i="19"/>
  <c r="G27" i="19"/>
  <c r="G64" i="19"/>
  <c r="G15" i="19"/>
  <c r="G67" i="19"/>
  <c r="G72" i="19"/>
  <c r="G17" i="19"/>
  <c r="G5" i="19"/>
  <c r="G75" i="19"/>
  <c r="G56" i="19"/>
  <c r="G65" i="19"/>
  <c r="G51" i="19"/>
  <c r="G71" i="19"/>
  <c r="G52" i="19"/>
  <c r="G7" i="19"/>
  <c r="G57" i="19"/>
  <c r="G77" i="19"/>
  <c r="G8" i="19"/>
  <c r="G21" i="19"/>
  <c r="G58" i="19"/>
  <c r="G78" i="19"/>
  <c r="G9" i="19"/>
  <c r="G22" i="19"/>
  <c r="G59" i="19"/>
  <c r="G79" i="19"/>
  <c r="G10" i="19"/>
  <c r="G23" i="19"/>
  <c r="G60" i="19"/>
  <c r="G80" i="19"/>
  <c r="G11" i="19"/>
  <c r="G24" i="19"/>
  <c r="G61" i="19"/>
  <c r="G25" i="19"/>
  <c r="G62" i="19"/>
  <c r="G26" i="19"/>
  <c r="G66" i="19"/>
  <c r="G70" i="19"/>
  <c r="G16" i="19"/>
  <c r="G73" i="19"/>
  <c r="G68" i="19"/>
  <c r="G69" i="19"/>
  <c r="G3" i="19"/>
  <c r="P3" i="8" l="1"/>
  <c r="S5" i="8"/>
  <c r="M7" i="8"/>
  <c r="L7" i="8"/>
  <c r="K7" i="8"/>
  <c r="J7" i="8"/>
  <c r="N7" i="8"/>
  <c r="I7" i="8"/>
  <c r="O7" i="8"/>
  <c r="H7" i="8"/>
  <c r="G7" i="8"/>
  <c r="F7" i="8"/>
  <c r="E7" i="8"/>
  <c r="M15" i="8"/>
  <c r="I10" i="8"/>
  <c r="M14" i="8"/>
  <c r="E18" i="8"/>
  <c r="K12" i="8"/>
  <c r="E14" i="8"/>
  <c r="K18" i="8"/>
  <c r="K10" i="8"/>
  <c r="L17" i="8"/>
  <c r="O18" i="8"/>
  <c r="I15" i="8"/>
  <c r="M9" i="8"/>
  <c r="G20" i="8"/>
  <c r="M16" i="8"/>
  <c r="N11" i="8"/>
  <c r="O16" i="8"/>
  <c r="E13" i="8"/>
  <c r="F17" i="8"/>
  <c r="G11" i="8"/>
  <c r="N19" i="8"/>
  <c r="K14" i="8"/>
  <c r="M19" i="8"/>
  <c r="F14" i="8"/>
  <c r="F18" i="8"/>
  <c r="E10" i="8"/>
  <c r="L8" i="8"/>
  <c r="H20" i="8"/>
  <c r="K9" i="8"/>
  <c r="O11" i="8"/>
  <c r="M13" i="8"/>
  <c r="H15" i="8"/>
  <c r="M18" i="8"/>
  <c r="I19" i="8"/>
  <c r="J8" i="8"/>
  <c r="J20" i="8"/>
  <c r="D10" i="8"/>
  <c r="I18" i="8"/>
  <c r="L15" i="8"/>
  <c r="E12" i="8"/>
  <c r="G17" i="8"/>
  <c r="G14" i="8"/>
  <c r="D11" i="8"/>
  <c r="G10" i="8"/>
  <c r="K19" i="8"/>
  <c r="H8" i="8"/>
  <c r="E15" i="8"/>
  <c r="H13" i="8"/>
  <c r="J19" i="8"/>
  <c r="F9" i="8"/>
  <c r="J17" i="8"/>
  <c r="I8" i="8"/>
  <c r="D14" i="8"/>
  <c r="G13" i="8"/>
  <c r="J11" i="8"/>
  <c r="D15" i="8"/>
  <c r="M17" i="8"/>
  <c r="F10" i="8"/>
  <c r="L20" i="8"/>
  <c r="K8" i="8"/>
  <c r="I17" i="8"/>
  <c r="G8" i="8"/>
  <c r="H9" i="8"/>
  <c r="O20" i="8"/>
  <c r="I16" i="8"/>
  <c r="D12" i="8"/>
  <c r="M12" i="8"/>
  <c r="N17" i="8"/>
  <c r="M10" i="8"/>
  <c r="O19" i="8"/>
  <c r="K13" i="8"/>
  <c r="N18" i="8"/>
  <c r="E9" i="8"/>
  <c r="N13" i="8"/>
  <c r="N9" i="8"/>
  <c r="F13" i="8"/>
  <c r="K20" i="8"/>
  <c r="F15" i="8"/>
  <c r="M11" i="8"/>
  <c r="N15" i="8"/>
  <c r="O8" i="8"/>
  <c r="H19" i="8"/>
  <c r="H16" i="8"/>
  <c r="I20" i="8"/>
  <c r="J15" i="8"/>
  <c r="J13" i="8"/>
  <c r="O9" i="8"/>
  <c r="L11" i="8"/>
  <c r="J14" i="8"/>
  <c r="M20" i="8"/>
  <c r="I12" i="8"/>
  <c r="L14" i="8"/>
  <c r="G9" i="8"/>
  <c r="J10" i="8"/>
  <c r="L19" i="8"/>
  <c r="H17" i="8"/>
  <c r="F16" i="8"/>
  <c r="N10" i="8"/>
  <c r="O17" i="8"/>
  <c r="O10" i="8"/>
  <c r="K11" i="8"/>
  <c r="N20" i="8"/>
  <c r="I14" i="8"/>
  <c r="D17" i="8"/>
  <c r="F20" i="8"/>
  <c r="K17" i="8"/>
  <c r="D19" i="8"/>
  <c r="J16" i="8"/>
  <c r="H14" i="8"/>
  <c r="H12" i="8"/>
  <c r="N8" i="8"/>
  <c r="O13" i="8"/>
  <c r="K15" i="8"/>
  <c r="J12" i="8"/>
  <c r="E11" i="8"/>
  <c r="G16" i="8"/>
  <c r="J18" i="8"/>
  <c r="L9" i="8"/>
  <c r="D13" i="8"/>
  <c r="H11" i="8"/>
  <c r="D9" i="8"/>
  <c r="O14" i="8"/>
  <c r="L18" i="8"/>
  <c r="L12" i="8"/>
  <c r="F19" i="8"/>
  <c r="E16" i="8"/>
  <c r="L13" i="8"/>
  <c r="J9" i="8"/>
  <c r="I13" i="8"/>
  <c r="K16" i="8"/>
  <c r="G12" i="8"/>
  <c r="F12" i="8"/>
  <c r="H10" i="8"/>
  <c r="E19" i="8"/>
  <c r="M8" i="8"/>
  <c r="G18" i="8"/>
  <c r="D16" i="8"/>
  <c r="F11" i="8"/>
  <c r="D20" i="8"/>
  <c r="E17" i="8"/>
  <c r="F8" i="8"/>
  <c r="N16" i="8"/>
  <c r="N14" i="8"/>
  <c r="O15" i="8"/>
  <c r="L10" i="8"/>
  <c r="G15" i="8"/>
  <c r="O12" i="8"/>
  <c r="I11" i="8"/>
  <c r="D18" i="8"/>
  <c r="H18" i="8"/>
  <c r="G19" i="8"/>
  <c r="I9" i="8"/>
  <c r="L16" i="8"/>
  <c r="N12" i="8"/>
  <c r="E20" i="8"/>
  <c r="D22" i="8" l="1"/>
  <c r="P4" i="8"/>
  <c r="S6" i="8"/>
  <c r="P6" i="8"/>
  <c r="P9" i="8"/>
  <c r="P10" i="8"/>
  <c r="P15" i="8"/>
  <c r="P20" i="8"/>
  <c r="P17" i="8"/>
  <c r="P14" i="8"/>
  <c r="P12" i="8"/>
  <c r="P19" i="8"/>
  <c r="P11" i="8"/>
  <c r="P18" i="8"/>
  <c r="P16" i="8"/>
  <c r="P13" i="8"/>
  <c r="P8" i="8"/>
  <c r="H22" i="8"/>
  <c r="L22" i="8"/>
  <c r="M22" i="8"/>
  <c r="G22" i="8" l="1"/>
  <c r="E22" i="8"/>
  <c r="J22" i="8"/>
  <c r="I22" i="8"/>
  <c r="K22" i="8"/>
  <c r="N22" i="8"/>
  <c r="O22" i="8"/>
  <c r="F22" i="8"/>
  <c r="P22" i="8" l="1"/>
  <c r="B3" i="7"/>
  <c r="B13" i="7"/>
  <c r="B6" i="7"/>
  <c r="B2" i="7"/>
  <c r="B14" i="7"/>
  <c r="B11" i="7"/>
  <c r="B10" i="7"/>
  <c r="B15" i="7"/>
  <c r="B8" i="7"/>
  <c r="B7" i="7"/>
  <c r="B9" i="7"/>
  <c r="B4" i="7"/>
  <c r="B12" i="7"/>
  <c r="B5" i="7"/>
  <c r="F6" i="8" l="1"/>
  <c r="H6" i="8" s="1"/>
  <c r="J6" i="8" s="1"/>
  <c r="L6" i="8" s="1"/>
  <c r="N6" i="8" s="1"/>
  <c r="B15" i="8" l="1"/>
  <c r="B16" i="8"/>
  <c r="B17" i="8"/>
  <c r="B12" i="8"/>
  <c r="B19" i="8"/>
  <c r="B13" i="8"/>
  <c r="B20" i="8"/>
  <c r="B18" i="8"/>
  <c r="B8" i="8"/>
  <c r="B11" i="8"/>
  <c r="B10" i="8"/>
  <c r="B9" i="8"/>
  <c r="B14" i="8"/>
  <c r="B22" i="8" l="1"/>
</calcChain>
</file>

<file path=xl/sharedStrings.xml><?xml version="1.0" encoding="utf-8"?>
<sst xmlns="http://schemas.openxmlformats.org/spreadsheetml/2006/main" count="689" uniqueCount="222">
  <si>
    <t>CAMISA</t>
  </si>
  <si>
    <t>SUNGA</t>
  </si>
  <si>
    <t>BERMUDA</t>
  </si>
  <si>
    <t>CINTO</t>
  </si>
  <si>
    <t>CAMISETA</t>
  </si>
  <si>
    <t>CUECA</t>
  </si>
  <si>
    <t>POLO</t>
  </si>
  <si>
    <t>TENIS</t>
  </si>
  <si>
    <t>SHORTS</t>
  </si>
  <si>
    <t>DESCRICAO</t>
  </si>
  <si>
    <t>REFERENCIA</t>
  </si>
  <si>
    <t>CHINELO</t>
  </si>
  <si>
    <t>MOLETOM</t>
  </si>
  <si>
    <t>CALCA</t>
  </si>
  <si>
    <t>PRETO</t>
  </si>
  <si>
    <t>AZUL</t>
  </si>
  <si>
    <t>MARINHO</t>
  </si>
  <si>
    <t>BRANCO</t>
  </si>
  <si>
    <t>OFF WHITE</t>
  </si>
  <si>
    <t>CHUMBO</t>
  </si>
  <si>
    <t>CINZA</t>
  </si>
  <si>
    <t>JEANS CLARO</t>
  </si>
  <si>
    <t>MARROM</t>
  </si>
  <si>
    <t>JEANS ESCURO</t>
  </si>
  <si>
    <t>M</t>
  </si>
  <si>
    <t>P</t>
  </si>
  <si>
    <t>G</t>
  </si>
  <si>
    <t>GG</t>
  </si>
  <si>
    <t>EG</t>
  </si>
  <si>
    <t>CODIGO</t>
  </si>
  <si>
    <t>COR</t>
  </si>
  <si>
    <t>TAMANHO</t>
  </si>
  <si>
    <t>SALDO</t>
  </si>
  <si>
    <t>BERMUDA MOLETOM</t>
  </si>
  <si>
    <t>MODELO</t>
  </si>
  <si>
    <t>XXXX</t>
  </si>
  <si>
    <t>OFF</t>
  </si>
  <si>
    <t>ON</t>
  </si>
  <si>
    <t>CUECA BOXER</t>
  </si>
  <si>
    <t>TOTAL</t>
  </si>
  <si>
    <t>FIM</t>
  </si>
  <si>
    <t>P-M-G-GG-EG</t>
  </si>
  <si>
    <t>85-90-95-100-105</t>
  </si>
  <si>
    <t>38-40-42-44-46-48</t>
  </si>
  <si>
    <t>38-39-40-41-42-43</t>
  </si>
  <si>
    <t>38-39-40-41-43-45</t>
  </si>
  <si>
    <t>MC/ML</t>
  </si>
  <si>
    <t>-</t>
  </si>
  <si>
    <t>RGL/SLM</t>
  </si>
  <si>
    <t>BASE</t>
  </si>
  <si>
    <t>CONTROLE</t>
  </si>
  <si>
    <t>CONT</t>
  </si>
  <si>
    <t>TAB</t>
  </si>
  <si>
    <t>TAM_FILTRO</t>
  </si>
  <si>
    <t>CONTROLE2</t>
  </si>
  <si>
    <t>JEANS BLACK</t>
  </si>
  <si>
    <t>BEGE</t>
  </si>
  <si>
    <t>FENDI</t>
  </si>
  <si>
    <t>119923</t>
  </si>
  <si>
    <t>119932</t>
  </si>
  <si>
    <t>119933</t>
  </si>
  <si>
    <t>119934</t>
  </si>
  <si>
    <t>133448</t>
  </si>
  <si>
    <t>133452</t>
  </si>
  <si>
    <t>133456</t>
  </si>
  <si>
    <t>135680</t>
  </si>
  <si>
    <t>135684</t>
  </si>
  <si>
    <t>138722</t>
  </si>
  <si>
    <t>138724</t>
  </si>
  <si>
    <t>138732</t>
  </si>
  <si>
    <t>138742</t>
  </si>
  <si>
    <t>140857</t>
  </si>
  <si>
    <t>140858</t>
  </si>
  <si>
    <t>140859</t>
  </si>
  <si>
    <t>140862</t>
  </si>
  <si>
    <t>140864</t>
  </si>
  <si>
    <t>141841</t>
  </si>
  <si>
    <t>141842</t>
  </si>
  <si>
    <t>143100</t>
  </si>
  <si>
    <t>143101</t>
  </si>
  <si>
    <t>143102</t>
  </si>
  <si>
    <t>143116</t>
  </si>
  <si>
    <t>143119</t>
  </si>
  <si>
    <t>144893</t>
  </si>
  <si>
    <t>144898</t>
  </si>
  <si>
    <t>144914</t>
  </si>
  <si>
    <t>144916</t>
  </si>
  <si>
    <t>144917</t>
  </si>
  <si>
    <t>146138</t>
  </si>
  <si>
    <t>146139</t>
  </si>
  <si>
    <t>146140</t>
  </si>
  <si>
    <t>146141</t>
  </si>
  <si>
    <t>146142</t>
  </si>
  <si>
    <t>146143</t>
  </si>
  <si>
    <t>146144</t>
  </si>
  <si>
    <t>146145</t>
  </si>
  <si>
    <t>146146</t>
  </si>
  <si>
    <t>146147</t>
  </si>
  <si>
    <t>146148</t>
  </si>
  <si>
    <t>146149</t>
  </si>
  <si>
    <t>146150</t>
  </si>
  <si>
    <t>146151</t>
  </si>
  <si>
    <t>146153</t>
  </si>
  <si>
    <t>146154</t>
  </si>
  <si>
    <t>146155</t>
  </si>
  <si>
    <t>146156</t>
  </si>
  <si>
    <t>146542</t>
  </si>
  <si>
    <t>146564</t>
  </si>
  <si>
    <t>146565</t>
  </si>
  <si>
    <t>146567</t>
  </si>
  <si>
    <t>146568</t>
  </si>
  <si>
    <t>146963</t>
  </si>
  <si>
    <t>146964</t>
  </si>
  <si>
    <t>146967</t>
  </si>
  <si>
    <t>148592</t>
  </si>
  <si>
    <t>148594</t>
  </si>
  <si>
    <t>148596</t>
  </si>
  <si>
    <t>148597</t>
  </si>
  <si>
    <t>148599</t>
  </si>
  <si>
    <t>148600</t>
  </si>
  <si>
    <t>148601</t>
  </si>
  <si>
    <t>148603</t>
  </si>
  <si>
    <t>148604</t>
  </si>
  <si>
    <t>148605</t>
  </si>
  <si>
    <t>148607</t>
  </si>
  <si>
    <t>148608</t>
  </si>
  <si>
    <t>148609</t>
  </si>
  <si>
    <t>148612</t>
  </si>
  <si>
    <t>148613</t>
  </si>
  <si>
    <t>149262</t>
  </si>
  <si>
    <t>149264</t>
  </si>
  <si>
    <t>149266</t>
  </si>
  <si>
    <t>149267</t>
  </si>
  <si>
    <t>149268</t>
  </si>
  <si>
    <t>149278</t>
  </si>
  <si>
    <t>149280</t>
  </si>
  <si>
    <t>149803</t>
  </si>
  <si>
    <t>149804</t>
  </si>
  <si>
    <t>149807</t>
  </si>
  <si>
    <t>150407</t>
  </si>
  <si>
    <t>150409</t>
  </si>
  <si>
    <t>150410</t>
  </si>
  <si>
    <t>150411</t>
  </si>
  <si>
    <t>150413</t>
  </si>
  <si>
    <t>150416</t>
  </si>
  <si>
    <t>150420</t>
  </si>
  <si>
    <t>150421</t>
  </si>
  <si>
    <t>150422</t>
  </si>
  <si>
    <t>JSD4R460AI</t>
  </si>
  <si>
    <t>JSMXK850GB</t>
  </si>
  <si>
    <t>JSMXB48EME</t>
  </si>
  <si>
    <t>JSMXC150HE</t>
  </si>
  <si>
    <t>JSD4L390</t>
  </si>
  <si>
    <t>JSMXA230HY</t>
  </si>
  <si>
    <t>JSPDC120TI</t>
  </si>
  <si>
    <t>JSPDC120TN</t>
  </si>
  <si>
    <t>JSTCB960GY</t>
  </si>
  <si>
    <t>JSTCB960LG</t>
  </si>
  <si>
    <t>JSPXC12TTN</t>
  </si>
  <si>
    <t>JSTCB960BB</t>
  </si>
  <si>
    <t>JSPDC12MKV</t>
  </si>
  <si>
    <t>JSMXA230BD</t>
  </si>
  <si>
    <t>JSMXC120</t>
  </si>
  <si>
    <t>JSMXV600</t>
  </si>
  <si>
    <t>JSXUC120</t>
  </si>
  <si>
    <t>JSMXA230XR</t>
  </si>
  <si>
    <t>JSMXC890KZ</t>
  </si>
  <si>
    <t>JSMXC890KW</t>
  </si>
  <si>
    <t>JSMSA230IP</t>
  </si>
  <si>
    <t>JSPDC34</t>
  </si>
  <si>
    <t>JSPDC890KR</t>
  </si>
  <si>
    <t>JSMNA230BD</t>
  </si>
  <si>
    <t>JSMXC120NN</t>
  </si>
  <si>
    <t>JSPDC42SNL</t>
  </si>
  <si>
    <t>JSMS83L0HY</t>
  </si>
  <si>
    <t>JSMSB800AR</t>
  </si>
  <si>
    <t>JSMXA230BN</t>
  </si>
  <si>
    <t>JSMXV600SH</t>
  </si>
  <si>
    <t>JSMXV600IG</t>
  </si>
  <si>
    <t>JSD4R460AI CALCA JEANS RONNIE LUXE PERFORMANCE</t>
  </si>
  <si>
    <t>JSMXK850GB CALCA JEANS SLIMMY TAPERED GUARD</t>
  </si>
  <si>
    <t>JSMXB48EME CALCA SLIMMY TAPERED SPECIAL EDITION JEANS CLARO 31</t>
  </si>
  <si>
    <t>JSMXB48EME CALCA SLIMMY TAPERED SPECIAL EDITION JEANS CLARO 36</t>
  </si>
  <si>
    <t>JSMXC150HE CALCA JEANS SLIMMY TAPERED STRETCH TEK JEANS CLARO 32</t>
  </si>
  <si>
    <t>JSD4L390 CALCA JEANS RONNIE UNDERWAY</t>
  </si>
  <si>
    <t>JSMXA230HY CALCA SLIMMY TAP LUXE PERFOR PLUS HYDRO</t>
  </si>
  <si>
    <t>JSPDC120TI CALCA PAXTYN STRETCH TEK INTENTION MID</t>
  </si>
  <si>
    <t>JSPDC120TN CALCA PAXTYN STRETCH TEK ESSENTIAL DARK</t>
  </si>
  <si>
    <t>JSTCB960GY CALCA TRAVEL CHINO DOUBLE KNIT</t>
  </si>
  <si>
    <t>CALCA TRAVEL CHINO DOUBLE KNIT LIGH</t>
  </si>
  <si>
    <t>CALCA PAXTYN XL EDITION STRETCH ESSENTIAL</t>
  </si>
  <si>
    <t>JSTCB960BB CALCA TRAVEL CHINO DOUBLE KNIT</t>
  </si>
  <si>
    <t>JSPDC12MKV CALCA JEANS PANTYN EARTHKIND</t>
  </si>
  <si>
    <t>JSMXA230BD CALCA JEANS SLIMMY TAP LUXE PLUS</t>
  </si>
  <si>
    <t>JSMXC120 CALCA SLIMMY TAPERED STRETCH TEK CUTBACK</t>
  </si>
  <si>
    <t>JSMXV600 CALCA SLIMMY TAP LP PLUS COLOR</t>
  </si>
  <si>
    <t>JSXUC120 CALCA PAXTYN UNROLLED STRETCH TEK DETOUR</t>
  </si>
  <si>
    <t>JSMXA230XR CALCA SLIMMY TAP LUXE PERFORMANCE PLUS ROAR</t>
  </si>
  <si>
    <t>JSMXC890KZ CALCA SLIMMY TAPERED STRETCH TEK MAZE</t>
  </si>
  <si>
    <t>JSMXC890KW CALCA SLIMMY TAPERED STRETCH TEK TWISTER</t>
  </si>
  <si>
    <t>JSMSA230IP CALCA JEANS SLIMMY LUXE PER PLUS</t>
  </si>
  <si>
    <t>JSPDC34 CALCA PAXTYN SE STRETCH TEK IDEALIST</t>
  </si>
  <si>
    <t>JSPDC890KR CALCA JEANS PAXTYN STRETCH TEK REBUS</t>
  </si>
  <si>
    <t>JSMNA230BD CALCA JEANS STANDARD LUXE PERFORMANCE PLUS</t>
  </si>
  <si>
    <t>JSMXC120NN CALCA JEANS SLIMMY TAP STRETCH TEK CONNECTED</t>
  </si>
  <si>
    <t>JSPDC42SNL CALCA JEANS PAXTYN SE STRETCH TEK TIMELESS</t>
  </si>
  <si>
    <t>JSMS83L0HY CALCA JEANS SLIMMY HEADWAY</t>
  </si>
  <si>
    <t>JSMSB800AR CALCA JEANS SLIMMY LUXE PERFORMANCE ROTATION</t>
  </si>
  <si>
    <t>JSMXA230BN CALCA JEANS SLIMMY TAP LP PLUS NIGHT</t>
  </si>
  <si>
    <t>JSMXV600SH CALCA SLIMMY TAP LP PLUS COLOR</t>
  </si>
  <si>
    <t>JSMXV600IG CALCA SLIMMY TAP LP PLUS COLOR</t>
  </si>
  <si>
    <t>30</t>
  </si>
  <si>
    <t>31</t>
  </si>
  <si>
    <t>32</t>
  </si>
  <si>
    <t>36</t>
  </si>
  <si>
    <t>38</t>
  </si>
  <si>
    <t>40</t>
  </si>
  <si>
    <t>34</t>
  </si>
  <si>
    <t>28</t>
  </si>
  <si>
    <t>29</t>
  </si>
  <si>
    <t>33</t>
  </si>
  <si>
    <t>28-29-30-31-32-33-34-36-38-40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</si>
</sst>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sz val="11"/>
      <color rgb="FFFFC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rgb="FF111111"/>
      <name val="Arial"/>
    </font>
    <font>
      <sz val="9"/>
      <color rgb="FF11111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FF"/>
        <bgColor rgb="FFFFFFFF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4" borderId="10" xfId="0" applyFill="1" applyBorder="1" applyAlignment="1">
      <alignment horizontal="center" vertical="center"/>
    </xf>
    <xf numFmtId="0" fontId="17" fillId="33" borderId="10" xfId="0" applyFont="1" applyFill="1" applyBorder="1" applyAlignment="1">
      <alignment horizontal="center" vertical="center"/>
    </xf>
    <xf numFmtId="0" fontId="17" fillId="35" borderId="0" xfId="0" applyFont="1" applyFill="1"/>
    <xf numFmtId="0" fontId="0" fillId="35" borderId="0" xfId="0" applyFill="1"/>
    <xf numFmtId="0" fontId="0" fillId="35" borderId="0" xfId="0" applyFill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0" fillId="35" borderId="0" xfId="0" applyFont="1" applyFill="1"/>
    <xf numFmtId="0" fontId="20" fillId="33" borderId="10" xfId="0" applyFont="1" applyFill="1" applyBorder="1" applyAlignment="1">
      <alignment horizontal="center" vertical="center"/>
    </xf>
    <xf numFmtId="0" fontId="21" fillId="36" borderId="10" xfId="0" applyFont="1" applyFill="1" applyBorder="1" applyAlignment="1">
      <alignment horizontal="center" vertical="center"/>
    </xf>
    <xf numFmtId="0" fontId="20" fillId="0" borderId="0" xfId="0" applyFont="1"/>
    <xf numFmtId="0" fontId="22" fillId="35" borderId="10" xfId="0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3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4" fillId="0" borderId="0" xfId="0" applyFont="1"/>
    <xf numFmtId="0" fontId="20" fillId="0" borderId="13" xfId="0" applyFont="1" applyBorder="1" applyAlignment="1">
      <alignment horizontal="center" vertical="center"/>
    </xf>
    <xf numFmtId="0" fontId="24" fillId="35" borderId="10" xfId="0" applyFont="1" applyFill="1" applyBorder="1" applyAlignment="1">
      <alignment horizontal="center" vertical="center"/>
    </xf>
    <xf numFmtId="0" fontId="24" fillId="35" borderId="13" xfId="0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3" fillId="33" borderId="16" xfId="0" applyFont="1" applyFill="1" applyBorder="1"/>
    <xf numFmtId="0" fontId="23" fillId="33" borderId="17" xfId="0" applyFont="1" applyFill="1" applyBorder="1" applyAlignment="1">
      <alignment horizontal="center" vertical="center"/>
    </xf>
    <xf numFmtId="0" fontId="0" fillId="33" borderId="18" xfId="0" applyFill="1" applyBorder="1" applyAlignment="1">
      <alignment horizontal="center" vertical="center"/>
    </xf>
    <xf numFmtId="0" fontId="23" fillId="33" borderId="19" xfId="0" applyFont="1" applyFill="1" applyBorder="1"/>
    <xf numFmtId="0" fontId="19" fillId="33" borderId="15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17" fillId="33" borderId="10" xfId="0" applyFont="1" applyFill="1" applyBorder="1" applyAlignment="1">
      <alignment horizontal="center" vertical="center"/>
    </xf>
    <xf numFmtId="0" fontId="25" fillId="37" borderId="20" xfId="0" applyFont="1" applyFill="1" applyBorder="1" applyAlignment="1">
      <alignment horizontal="left" vertical="center" wrapText="1"/>
    </xf>
    <xf numFmtId="1" fontId="24" fillId="0" borderId="0" xfId="0" applyNumberFormat="1" applyFont="1"/>
    <xf numFmtId="1" fontId="26" fillId="37" borderId="20" xfId="0" applyNumberFormat="1" applyFont="1" applyFill="1" applyBorder="1" applyAlignment="1">
      <alignment horizontal="right" vertical="center" wrapText="1"/>
    </xf>
    <xf numFmtId="0" fontId="26" fillId="37" borderId="20" xfId="0" applyFont="1" applyFill="1" applyBorder="1" applyAlignment="1">
      <alignment horizontal="left" vertical="center" wrapText="1"/>
    </xf>
    <xf numFmtId="0" fontId="0" fillId="0" borderId="20" xfId="0" applyBorder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S7" s="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209550</xdr:colOff>
      <xdr:row>0</xdr:row>
      <xdr:rowOff>152400</xdr:rowOff>
    </xdr:from>
    <xdr:to>
      <xdr:col>21</xdr:col>
      <xdr:colOff>458091</xdr:colOff>
      <xdr:row>20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4310793-FA02-4389-B73D-08A92E875153}"/>
            </a:ext>
          </a:extLst>
        </xdr:cNvPr>
        <xdr:cNvGrpSpPr/>
      </xdr:nvGrpSpPr>
      <xdr:grpSpPr>
        <a:xfrm>
          <a:off x="9096375" y="152400"/>
          <a:ext cx="1686816" cy="3638550"/>
          <a:chOff x="590550" y="0"/>
          <a:chExt cx="1121843" cy="4620530"/>
        </a:xfrm>
      </xdr:grpSpPr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3" name="BASE">
                <a:extLst>
                  <a:ext uri="{FF2B5EF4-FFF2-40B4-BE49-F238E27FC236}">
                    <a16:creationId xmlns:a16="http://schemas.microsoft.com/office/drawing/2014/main" id="{032F4D2C-A644-A2B0-9E2A-D68EDA54E3CD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90550" y="0"/>
              <a:ext cx="1121843" cy="4620530"/>
            </xdr:xfrm>
            <a:graphic>
              <a:graphicData uri="http://schemas.microsoft.com/office/drawing/2010/slicer">
                <sle:slicer xmlns:sle="http://schemas.microsoft.com/office/drawing/2010/slicer" name="BAS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9096375" y="152400"/>
                <a:ext cx="1686816" cy="397905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  </a:r>
              </a:p>
            </xdr:txBody>
          </xdr:sp>
        </mc:Fallback>
      </mc:AlternateContent>
    </xdr:grp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ASE" xr10:uid="{45B5343C-A7AF-4079-B9DF-25DEA3CBD3E3}" sourceName="BASE">
  <extLst>
    <x:ext xmlns:x15="http://schemas.microsoft.com/office/spreadsheetml/2010/11/main" uri="{2F2917AC-EB37-4324-AD4E-5DD8C200BD13}">
      <x15:tableSlicerCache tableId="6" column="7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ASE" xr10:uid="{2630D9A0-F0B6-4F6E-90C4-BE2081AB7701}" cache="SegmentaçãodeDados_BASE" caption="BASE" style="SlicerStyleLight5" rowHeight="18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7B53EA4-E1EA-4758-AF6D-B2E70C9C488D}" name="DB" displayName="DB" ref="A2:L711" totalsRowShown="0" headerRowDxfId="13" dataDxfId="12">
  <autoFilter ref="A2:L711" xr:uid="{B7B53EA4-E1EA-4758-AF6D-B2E70C9C488D}"/>
  <tableColumns count="12">
    <tableColumn id="1" xr3:uid="{B3CAA745-4DAF-431B-93BA-1D2A45E446F5}" name="CODIGO" dataDxfId="11"/>
    <tableColumn id="2" xr3:uid="{50DDE217-1E66-4839-A226-1D14987FDF44}" name="REFERENCIA" dataDxfId="10"/>
    <tableColumn id="3" xr3:uid="{34EFE1E4-4AA3-42C1-96B4-DC4F834223F6}" name="DESCRICAO" dataDxfId="9"/>
    <tableColumn id="4" xr3:uid="{8BC059C7-BFF2-4FD6-AEF1-753C4B3FA56C}" name="COR" dataDxfId="8"/>
    <tableColumn id="5" xr3:uid="{B99DF39E-2994-496C-BA42-44A953F1E0DA}" name="TAMANHO" dataDxfId="7"/>
    <tableColumn id="6" xr3:uid="{E31A6DA9-89A3-49E9-9461-B6E884681FDB}" name="SALDO" dataDxfId="1"/>
    <tableColumn id="7" xr3:uid="{C662E72E-102A-4FF5-80DA-0A974D33AFF7}" name="BASE" dataDxfId="6">
      <calculatedColumnFormula>vest(DB[[#This Row],[DESCRICAO]],1)</calculatedColumnFormula>
    </tableColumn>
    <tableColumn id="8" xr3:uid="{1EA43B72-133F-4560-8D40-C8A53CAD540C}" name="MODELO" dataDxfId="0">
      <calculatedColumnFormula>CORTE(DB[[#This Row],[DESCRICAO]])</calculatedColumnFormula>
    </tableColumn>
    <tableColumn id="10" xr3:uid="{490D97AA-2D26-4366-BDB9-98B3B98B60D4}" name="RGL/SLM" dataDxfId="5"/>
    <tableColumn id="19" xr3:uid="{C39D3C03-8B6D-4E5F-A712-4F61829FC750}" name="CONTROLE" dataDxfId="4">
      <calculatedColumnFormula>SUBTOTAL(103,DB[[#This Row],[SALDO]])</calculatedColumnFormula>
    </tableColumn>
    <tableColumn id="18" xr3:uid="{AA4B4F47-6C7A-43FB-B712-305714F35398}" name="TAM_FILTRO" dataDxfId="3"/>
    <tableColumn id="17" xr3:uid="{E3E00D96-7B11-4A4E-B5EE-EB9FD318FC20}" name="CONTROLE2" dataDxfId="2">
      <calculatedColumnFormula>SUBTOTAL(103,DB[[#This Row],[SALDO]])*DB[[#This Row],[SALDO]]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281A8-62F2-4C6D-9078-4D8A373E0191}">
  <sheetPr codeName="Planilha6"/>
  <dimension ref="A1:S26"/>
  <sheetViews>
    <sheetView tabSelected="1" zoomScaleNormal="100" workbookViewId="0">
      <selection activeCell="E8" sqref="E8"/>
    </sheetView>
  </sheetViews>
  <sheetFormatPr defaultRowHeight="15" x14ac:dyDescent="0.25"/>
  <cols>
    <col min="1" max="1" width="9.28515625" style="6" bestFit="1" customWidth="1"/>
    <col min="2" max="2" width="8.85546875" style="22"/>
    <col min="3" max="3" width="15.42578125" style="1" bestFit="1" customWidth="1"/>
    <col min="4" max="4" width="5.85546875" style="1" bestFit="1" customWidth="1"/>
    <col min="5" max="5" width="5.5703125" style="1" customWidth="1"/>
    <col min="6" max="6" width="5.5703125" style="1" bestFit="1" customWidth="1"/>
    <col min="7" max="7" width="5.5703125" style="1" customWidth="1"/>
    <col min="8" max="8" width="5.5703125" style="1" bestFit="1" customWidth="1"/>
    <col min="9" max="9" width="5.5703125" style="1" customWidth="1"/>
    <col min="10" max="10" width="5.5703125" style="1" bestFit="1" customWidth="1"/>
    <col min="11" max="14" width="5.5703125" style="1" customWidth="1"/>
    <col min="15" max="15" width="5.5703125" customWidth="1"/>
    <col min="16" max="16" width="9.140625" style="19"/>
    <col min="17" max="17" width="8.85546875" style="6"/>
    <col min="18" max="18" width="6" style="6" bestFit="1" customWidth="1"/>
    <col min="19" max="19" width="8.5703125" bestFit="1" customWidth="1"/>
    <col min="21" max="21" width="12.42578125" bestFit="1" customWidth="1"/>
  </cols>
  <sheetData>
    <row r="1" spans="1:19" s="6" customFormat="1" x14ac:dyDescent="0.25">
      <c r="A1" s="6">
        <v>50</v>
      </c>
      <c r="B1" s="22" t="s">
        <v>36</v>
      </c>
      <c r="C1" s="7"/>
      <c r="D1" s="7" t="s">
        <v>35</v>
      </c>
      <c r="E1" s="7" t="s">
        <v>35</v>
      </c>
      <c r="F1" s="7" t="s">
        <v>35</v>
      </c>
      <c r="G1" s="7" t="s">
        <v>35</v>
      </c>
      <c r="H1" s="7" t="s">
        <v>35</v>
      </c>
      <c r="I1" s="7" t="s">
        <v>35</v>
      </c>
      <c r="J1" s="7" t="s">
        <v>35</v>
      </c>
      <c r="K1" s="7" t="s">
        <v>35</v>
      </c>
      <c r="L1" s="7" t="s">
        <v>35</v>
      </c>
      <c r="M1" s="7" t="s">
        <v>35</v>
      </c>
      <c r="N1" s="7" t="s">
        <v>35</v>
      </c>
      <c r="O1" s="7" t="s">
        <v>35</v>
      </c>
      <c r="P1" s="18"/>
    </row>
    <row r="2" spans="1:19" s="5" customFormat="1" ht="15.75" thickBot="1" x14ac:dyDescent="0.3">
      <c r="A2" s="6"/>
      <c r="B2" s="22" t="s">
        <v>36</v>
      </c>
      <c r="C2" s="7"/>
      <c r="D2" s="7">
        <v>1</v>
      </c>
      <c r="E2" s="7">
        <v>1</v>
      </c>
      <c r="F2" s="7">
        <v>2</v>
      </c>
      <c r="G2" s="7">
        <v>2</v>
      </c>
      <c r="H2" s="7">
        <v>3</v>
      </c>
      <c r="I2" s="7">
        <v>3</v>
      </c>
      <c r="J2" s="7">
        <v>4</v>
      </c>
      <c r="K2" s="7">
        <v>4</v>
      </c>
      <c r="L2" s="7">
        <v>5</v>
      </c>
      <c r="M2" s="7">
        <v>5</v>
      </c>
      <c r="N2" s="7">
        <v>6</v>
      </c>
      <c r="O2" s="7">
        <v>6</v>
      </c>
      <c r="P2" s="18"/>
    </row>
    <row r="3" spans="1:19" x14ac:dyDescent="0.25">
      <c r="B3" s="23" t="s">
        <v>37</v>
      </c>
      <c r="C3" s="24">
        <v>6</v>
      </c>
      <c r="D3" s="30"/>
      <c r="E3" s="30"/>
      <c r="F3" s="30"/>
      <c r="G3" s="30"/>
      <c r="H3" s="30"/>
      <c r="I3" s="30"/>
      <c r="J3" s="30"/>
      <c r="K3" s="30"/>
      <c r="L3" s="30"/>
      <c r="M3" s="30"/>
      <c r="N3" s="25"/>
      <c r="O3" s="25"/>
      <c r="P3" s="26">
        <f>SUM(DB[[CONTROLE2]:[CONTROLE2]])</f>
        <v>112</v>
      </c>
    </row>
    <row r="4" spans="1:19" ht="15.75" thickBot="1" x14ac:dyDescent="0.3">
      <c r="B4" s="23" t="s">
        <v>37</v>
      </c>
      <c r="C4" s="27" t="s">
        <v>46</v>
      </c>
      <c r="D4" s="31"/>
      <c r="E4" s="31"/>
      <c r="F4" s="31"/>
      <c r="G4" s="31"/>
      <c r="H4" s="31"/>
      <c r="I4" s="31"/>
      <c r="J4" s="31"/>
      <c r="K4" s="31"/>
      <c r="L4" s="31"/>
      <c r="M4" s="31"/>
      <c r="N4" s="28"/>
      <c r="O4" s="28"/>
      <c r="P4" s="29" t="e">
        <f ca="1">SUM(D8:O20)</f>
        <v>#REF!</v>
      </c>
      <c r="S4" t="e">
        <f>SegmentaçãodeDados_VESTUARIO</f>
        <v>#NAME?</v>
      </c>
    </row>
    <row r="5" spans="1:19" x14ac:dyDescent="0.25">
      <c r="B5" s="22" t="s">
        <v>36</v>
      </c>
      <c r="C5" s="9">
        <f>SEARCH("/",C4,1)</f>
        <v>3</v>
      </c>
      <c r="D5" s="1">
        <f>INDEX(TAM!$C$1:$J$10,MATCH($C3,TAM!$A$1:$A$10,0),D$2)</f>
        <v>28</v>
      </c>
      <c r="E5" s="1">
        <f>INDEX(TAM!$C$1:$J$10,MATCH($C3,TAM!$A$1:$A$10,0),E$2)</f>
        <v>28</v>
      </c>
      <c r="F5" s="1">
        <f>INDEX(TAM!$C$1:$J$10,MATCH($C3,TAM!$A$1:$A$10,0),F$2)</f>
        <v>29</v>
      </c>
      <c r="G5" s="1">
        <f>INDEX(TAM!$C$1:$J$10,MATCH($C3,TAM!$A$1:$A$10,0),G$2)</f>
        <v>29</v>
      </c>
      <c r="H5" s="1">
        <f>INDEX(TAM!$C$1:$J$10,MATCH($C3,TAM!$A$1:$A$10,0),H$2)</f>
        <v>30</v>
      </c>
      <c r="I5" s="1">
        <f>INDEX(TAM!$C$1:$J$10,MATCH($C3,TAM!$A$1:$A$10,0),I$2)</f>
        <v>30</v>
      </c>
      <c r="J5" s="1">
        <f>INDEX(TAM!$C$1:$J$10,MATCH($C3,TAM!$A$1:$A$10,0),J$2)</f>
        <v>31</v>
      </c>
      <c r="K5" s="1">
        <f>INDEX(TAM!$C$1:$J$10,MATCH($C3,TAM!$A$1:$A$10,0),K$2)</f>
        <v>31</v>
      </c>
      <c r="L5" s="1">
        <f>INDEX(TAM!$C$1:$J$10,MATCH($C3,TAM!$A$1:$A$10,0),L$2)</f>
        <v>32</v>
      </c>
      <c r="M5" s="1">
        <f>INDEX(TAM!$C$1:$J$10,MATCH($C3,TAM!$A$1:$A$10,0),M$2)</f>
        <v>32</v>
      </c>
      <c r="N5" s="1">
        <f>INDEX(TAM!$C$1:$J$10,MATCH($C3,TAM!$A$1:$A$10,0),N$2)</f>
        <v>33</v>
      </c>
      <c r="O5" s="1">
        <f>INDEX(TAM!$C$1:$J$10,MATCH($C3,TAM!$A$1:$A$10,0),O$2)</f>
        <v>33</v>
      </c>
      <c r="P5" s="17"/>
      <c r="R5" s="6" t="s">
        <v>51</v>
      </c>
      <c r="S5">
        <f>SUM(DB[[CONTROLE2]:[CONTROLE2]])</f>
        <v>112</v>
      </c>
    </row>
    <row r="6" spans="1:19" x14ac:dyDescent="0.25">
      <c r="B6" s="22" t="s">
        <v>37</v>
      </c>
      <c r="C6" s="8"/>
      <c r="D6" s="32">
        <f>IF(C6=D5,"",D5)</f>
        <v>28</v>
      </c>
      <c r="E6" s="32"/>
      <c r="F6" s="32">
        <f t="shared" ref="F6:N6" si="0">IF(E6=F5,"",F5)</f>
        <v>29</v>
      </c>
      <c r="G6" s="32"/>
      <c r="H6" s="32">
        <f t="shared" si="0"/>
        <v>30</v>
      </c>
      <c r="I6" s="32"/>
      <c r="J6" s="32">
        <f t="shared" si="0"/>
        <v>31</v>
      </c>
      <c r="K6" s="32"/>
      <c r="L6" s="32">
        <f t="shared" si="0"/>
        <v>32</v>
      </c>
      <c r="M6" s="32"/>
      <c r="N6" s="32">
        <f t="shared" si="0"/>
        <v>33</v>
      </c>
      <c r="O6" s="32"/>
      <c r="P6" s="16" t="e">
        <f ca="1">SUM(D8:O20)</f>
        <v>#REF!</v>
      </c>
      <c r="R6" s="6" t="s">
        <v>52</v>
      </c>
      <c r="S6" t="e">
        <f ca="1">SUM($D$8:$O$20)</f>
        <v>#REF!</v>
      </c>
    </row>
    <row r="7" spans="1:19" s="13" customFormat="1" ht="12" x14ac:dyDescent="0.2">
      <c r="A7" s="10"/>
      <c r="B7" s="22" t="s">
        <v>37</v>
      </c>
      <c r="C7" s="11"/>
      <c r="D7" s="12" t="str">
        <f>IFERROR(IF(ISODD(C2+D2),LEFT($C4,$C5-1),MID($C4,$C5+1,10)),"-")</f>
        <v>MC</v>
      </c>
      <c r="E7" s="12" t="str">
        <f t="shared" ref="E7:O7" si="1">IFERROR(IF(ISODD(D2+E2),LEFT($C4,$C5-1),MID($C4,$C5+1,10)),"-")</f>
        <v>ML</v>
      </c>
      <c r="F7" s="12" t="str">
        <f t="shared" si="1"/>
        <v>MC</v>
      </c>
      <c r="G7" s="12" t="str">
        <f t="shared" si="1"/>
        <v>ML</v>
      </c>
      <c r="H7" s="12" t="str">
        <f t="shared" si="1"/>
        <v>MC</v>
      </c>
      <c r="I7" s="12" t="str">
        <f t="shared" si="1"/>
        <v>ML</v>
      </c>
      <c r="J7" s="12" t="str">
        <f t="shared" si="1"/>
        <v>MC</v>
      </c>
      <c r="K7" s="12" t="str">
        <f t="shared" si="1"/>
        <v>ML</v>
      </c>
      <c r="L7" s="12" t="str">
        <f t="shared" si="1"/>
        <v>MC</v>
      </c>
      <c r="M7" s="12" t="str">
        <f t="shared" si="1"/>
        <v>ML</v>
      </c>
      <c r="N7" s="12" t="str">
        <f t="shared" si="1"/>
        <v>MC</v>
      </c>
      <c r="O7" s="12" t="str">
        <f t="shared" si="1"/>
        <v>ML</v>
      </c>
      <c r="P7" s="16" t="str">
        <f>C4</f>
        <v>MC/ML</v>
      </c>
      <c r="Q7" s="10"/>
      <c r="R7" s="10"/>
      <c r="S7" s="13" t="e">
        <f>VALUE(CUBEMEMBER("ThisWorkbookDataModel","[SegmentaçãodeDados_BASE].[SegmentaçãodeDados_BASE].CURRENTMEMBER.NAME"))</f>
        <v>#N/A</v>
      </c>
    </row>
    <row r="8" spans="1:19" x14ac:dyDescent="0.25">
      <c r="B8" s="22" t="e">
        <f ca="1">IF(SUM(D8:O8)=0,"OFF","ON")</f>
        <v>#REF!</v>
      </c>
      <c r="C8" s="4" t="s">
        <v>15</v>
      </c>
      <c r="D8" s="3" t="e">
        <f ca="1">IF(SUMIFS(DB[[CONTROLE2]:[CONTROLE2]],DB[[COR]:[COR]],$C8,DB[[TAMANHO]:[TAMANHO]],D$5,INDIRECT("DB[["&amp;$C$4&amp;"]:["&amp;$C$4&amp;"]]"),D$7) = 0, "", SUMIFS(DB[[CONTROLE2]:[CONTROLE2]],DB[[COR]:[COR]],$C8,DB[[TAMANHO]:[TAMANHO]],D$5,INDIRECT("DB[["&amp;$C$4&amp;"]:["&amp;$C$4&amp;"]]"),D$7))</f>
        <v>#REF!</v>
      </c>
      <c r="E8" s="3" t="e">
        <f ca="1">IF(SUMIFS(DB[[CONTROLE2]:[CONTROLE2]],DB[[COR]:[COR]],$C8,DB[[TAMANHO]:[TAMANHO]],E$5,INDIRECT("DB[["&amp;$C$4&amp;"]:["&amp;$C$4&amp;"]]"),E$7) = 0, "", SUMIFS(DB[[CONTROLE2]:[CONTROLE2]],DB[[COR]:[COR]],$C8,DB[[TAMANHO]:[TAMANHO]],E$5,INDIRECT("DB[["&amp;$C$4&amp;"]:["&amp;$C$4&amp;"]]"),E$7))</f>
        <v>#REF!</v>
      </c>
      <c r="F8" s="3" t="e">
        <f ca="1">IF(SUMIFS(DB[[CONTROLE2]:[CONTROLE2]],DB[[COR]:[COR]],$C8,DB[[TAMANHO]:[TAMANHO]],F$5,INDIRECT("DB[["&amp;$C$4&amp;"]:["&amp;$C$4&amp;"]]"),F$7) = 0, "", SUMIFS(DB[[CONTROLE2]:[CONTROLE2]],DB[[COR]:[COR]],$C8,DB[[TAMANHO]:[TAMANHO]],F$5,INDIRECT("DB[["&amp;$C$4&amp;"]:["&amp;$C$4&amp;"]]"),F$7))</f>
        <v>#REF!</v>
      </c>
      <c r="G8" s="3" t="e">
        <f ca="1">IF(SUMIFS(DB[[CONTROLE2]:[CONTROLE2]],DB[[COR]:[COR]],$C8,DB[[TAMANHO]:[TAMANHO]],G$5,INDIRECT("DB[["&amp;$C$4&amp;"]:["&amp;$C$4&amp;"]]"),G$7) = 0, "", SUMIFS(DB[[CONTROLE2]:[CONTROLE2]],DB[[COR]:[COR]],$C8,DB[[TAMANHO]:[TAMANHO]],G$5,INDIRECT("DB[["&amp;$C$4&amp;"]:["&amp;$C$4&amp;"]]"),G$7))</f>
        <v>#REF!</v>
      </c>
      <c r="H8" s="3" t="e">
        <f ca="1">IF(SUMIFS(DB[[CONTROLE2]:[CONTROLE2]],DB[[COR]:[COR]],$C8,DB[[TAMANHO]:[TAMANHO]],H$5,INDIRECT("DB[["&amp;$C$4&amp;"]:["&amp;$C$4&amp;"]]"),H$7) = 0, "", SUMIFS(DB[[CONTROLE2]:[CONTROLE2]],DB[[COR]:[COR]],$C8,DB[[TAMANHO]:[TAMANHO]],H$5,INDIRECT("DB[["&amp;$C$4&amp;"]:["&amp;$C$4&amp;"]]"),H$7))</f>
        <v>#REF!</v>
      </c>
      <c r="I8" s="3" t="e">
        <f ca="1">IF(SUMIFS(DB[[CONTROLE2]:[CONTROLE2]],DB[[COR]:[COR]],$C8,DB[[TAMANHO]:[TAMANHO]],I$5,INDIRECT("DB[["&amp;$C$4&amp;"]:["&amp;$C$4&amp;"]]"),I$7) = 0, "", SUMIFS(DB[[CONTROLE2]:[CONTROLE2]],DB[[COR]:[COR]],$C8,DB[[TAMANHO]:[TAMANHO]],I$5,INDIRECT("DB[["&amp;$C$4&amp;"]:["&amp;$C$4&amp;"]]"),I$7))</f>
        <v>#REF!</v>
      </c>
      <c r="J8" s="3" t="e">
        <f ca="1">IF(SUMIFS(DB[[CONTROLE2]:[CONTROLE2]],DB[[COR]:[COR]],$C8,DB[[TAMANHO]:[TAMANHO]],J$5,INDIRECT("DB[["&amp;$C$4&amp;"]:["&amp;$C$4&amp;"]]"),J$7) = 0, "", SUMIFS(DB[[CONTROLE2]:[CONTROLE2]],DB[[COR]:[COR]],$C8,DB[[TAMANHO]:[TAMANHO]],J$5,INDIRECT("DB[["&amp;$C$4&amp;"]:["&amp;$C$4&amp;"]]"),J$7))</f>
        <v>#REF!</v>
      </c>
      <c r="K8" s="3" t="e">
        <f ca="1">IF(SUMIFS(DB[[CONTROLE2]:[CONTROLE2]],DB[[COR]:[COR]],$C8,DB[[TAMANHO]:[TAMANHO]],K$5,INDIRECT("DB[["&amp;$C$4&amp;"]:["&amp;$C$4&amp;"]]"),K$7) = 0, "", SUMIFS(DB[[CONTROLE2]:[CONTROLE2]],DB[[COR]:[COR]],$C8,DB[[TAMANHO]:[TAMANHO]],K$5,INDIRECT("DB[["&amp;$C$4&amp;"]:["&amp;$C$4&amp;"]]"),K$7))</f>
        <v>#REF!</v>
      </c>
      <c r="L8" s="3" t="e">
        <f ca="1">IF(SUMIFS(DB[[CONTROLE2]:[CONTROLE2]],DB[[COR]:[COR]],$C8,DB[[TAMANHO]:[TAMANHO]],L$5,INDIRECT("DB[["&amp;$C$4&amp;"]:["&amp;$C$4&amp;"]]"),L$7) = 0, "", SUMIFS(DB[[CONTROLE2]:[CONTROLE2]],DB[[COR]:[COR]],$C8,DB[[TAMANHO]:[TAMANHO]],L$5,INDIRECT("DB[["&amp;$C$4&amp;"]:["&amp;$C$4&amp;"]]"),L$7))</f>
        <v>#REF!</v>
      </c>
      <c r="M8" s="3" t="e">
        <f ca="1">IF(SUMIFS(DB[[CONTROLE2]:[CONTROLE2]],DB[[COR]:[COR]],$C8,DB[[TAMANHO]:[TAMANHO]],M$5,INDIRECT("DB[["&amp;$C$4&amp;"]:["&amp;$C$4&amp;"]]"),M$7) = 0, "", SUMIFS(DB[[CONTROLE2]:[CONTROLE2]],DB[[COR]:[COR]],$C8,DB[[TAMANHO]:[TAMANHO]],M$5,INDIRECT("DB[["&amp;$C$4&amp;"]:["&amp;$C$4&amp;"]]"),M$7))</f>
        <v>#REF!</v>
      </c>
      <c r="N8" s="3" t="e">
        <f ca="1">IF(SUMIFS(DB[[CONTROLE2]:[CONTROLE2]],DB[[COR]:[COR]],$C8,DB[[TAMANHO]:[TAMANHO]],N$5,INDIRECT("DB[["&amp;$C$4&amp;"]:["&amp;$C$4&amp;"]]"),N$7) = 0, "", SUMIFS(DB[[CONTROLE2]:[CONTROLE2]],DB[[COR]:[COR]],$C8,DB[[TAMANHO]:[TAMANHO]],N$5,INDIRECT("DB[["&amp;$C$4&amp;"]:["&amp;$C$4&amp;"]]"),N$7))</f>
        <v>#REF!</v>
      </c>
      <c r="O8" s="3" t="e">
        <f ca="1">IF(SUMIFS(DB[[CONTROLE2]:[CONTROLE2]],DB[[COR]:[COR]],$C8,DB[[TAMANHO]:[TAMANHO]],O$5,INDIRECT("DB[["&amp;$C$4&amp;"]:["&amp;$C$4&amp;"]]"),O$7) = 0, "", SUMIFS(DB[[CONTROLE2]:[CONTROLE2]],DB[[COR]:[COR]],$C8,DB[[TAMANHO]:[TAMANHO]],O$5,INDIRECT("DB[["&amp;$C$4&amp;"]:["&amp;$C$4&amp;"]]"),O$7))</f>
        <v>#REF!</v>
      </c>
      <c r="P8" s="15" t="e">
        <f ca="1">SUMIF(D7:O7,LEFT($C4,$C5-1),D8:O8) &amp; "/" &amp; SUMIF(D7:O7,MID($C4,$C5+1,10),D8:O8)</f>
        <v>#REF!</v>
      </c>
    </row>
    <row r="9" spans="1:19" x14ac:dyDescent="0.25">
      <c r="B9" s="22" t="e">
        <f t="shared" ref="B9:B20" ca="1" si="2">IF(SUM(D9:O9)=0,"OFF","ON")</f>
        <v>#REF!</v>
      </c>
      <c r="C9" s="4" t="s">
        <v>56</v>
      </c>
      <c r="D9" s="3" t="e">
        <f ca="1">IF(SUMIFS(DB[[CONTROLE2]:[CONTROLE2]],DB[[COR]:[COR]],$C9,DB[[TAMANHO]:[TAMANHO]],D$5,INDIRECT("DB[["&amp;$C$4&amp;"]:["&amp;$C$4&amp;"]]"),D$7) = 0, "", SUMIFS(DB[[CONTROLE2]:[CONTROLE2]],DB[[COR]:[COR]],$C9,DB[[TAMANHO]:[TAMANHO]],D$5,INDIRECT("DB[["&amp;$C$4&amp;"]:["&amp;$C$4&amp;"]]"),D$7))</f>
        <v>#REF!</v>
      </c>
      <c r="E9" s="3" t="e">
        <f ca="1">IF(SUMIFS(DB[[CONTROLE2]:[CONTROLE2]],DB[[COR]:[COR]],$C9,DB[[TAMANHO]:[TAMANHO]],E$5,INDIRECT("DB[["&amp;$C$4&amp;"]:["&amp;$C$4&amp;"]]"),E$7) = 0, "", SUMIFS(DB[[CONTROLE2]:[CONTROLE2]],DB[[COR]:[COR]],$C9,DB[[TAMANHO]:[TAMANHO]],E$5,INDIRECT("DB[["&amp;$C$4&amp;"]:["&amp;$C$4&amp;"]]"),E$7))</f>
        <v>#REF!</v>
      </c>
      <c r="F9" s="3" t="e">
        <f ca="1">IF(SUMIFS(DB[[CONTROLE2]:[CONTROLE2]],DB[[COR]:[COR]],$C9,DB[[TAMANHO]:[TAMANHO]],F$5,INDIRECT("DB[["&amp;$C$4&amp;"]:["&amp;$C$4&amp;"]]"),F$7) = 0, "", SUMIFS(DB[[CONTROLE2]:[CONTROLE2]],DB[[COR]:[COR]],$C9,DB[[TAMANHO]:[TAMANHO]],F$5,INDIRECT("DB[["&amp;$C$4&amp;"]:["&amp;$C$4&amp;"]]"),F$7))</f>
        <v>#REF!</v>
      </c>
      <c r="G9" s="3" t="e">
        <f ca="1">IF(SUMIFS(DB[[CONTROLE2]:[CONTROLE2]],DB[[COR]:[COR]],$C9,DB[[TAMANHO]:[TAMANHO]],G$5,INDIRECT("DB[["&amp;$C$4&amp;"]:["&amp;$C$4&amp;"]]"),G$7) = 0, "", SUMIFS(DB[[CONTROLE2]:[CONTROLE2]],DB[[COR]:[COR]],$C9,DB[[TAMANHO]:[TAMANHO]],G$5,INDIRECT("DB[["&amp;$C$4&amp;"]:["&amp;$C$4&amp;"]]"),G$7))</f>
        <v>#REF!</v>
      </c>
      <c r="H9" s="3" t="e">
        <f ca="1">IF(SUMIFS(DB[[CONTROLE2]:[CONTROLE2]],DB[[COR]:[COR]],$C9,DB[[TAMANHO]:[TAMANHO]],H$5,INDIRECT("DB[["&amp;$C$4&amp;"]:["&amp;$C$4&amp;"]]"),H$7) = 0, "", SUMIFS(DB[[CONTROLE2]:[CONTROLE2]],DB[[COR]:[COR]],$C9,DB[[TAMANHO]:[TAMANHO]],H$5,INDIRECT("DB[["&amp;$C$4&amp;"]:["&amp;$C$4&amp;"]]"),H$7))</f>
        <v>#REF!</v>
      </c>
      <c r="I9" s="3" t="e">
        <f ca="1">IF(SUMIFS(DB[[CONTROLE2]:[CONTROLE2]],DB[[COR]:[COR]],$C9,DB[[TAMANHO]:[TAMANHO]],I$5,INDIRECT("DB[["&amp;$C$4&amp;"]:["&amp;$C$4&amp;"]]"),I$7) = 0, "", SUMIFS(DB[[CONTROLE2]:[CONTROLE2]],DB[[COR]:[COR]],$C9,DB[[TAMANHO]:[TAMANHO]],I$5,INDIRECT("DB[["&amp;$C$4&amp;"]:["&amp;$C$4&amp;"]]"),I$7))</f>
        <v>#REF!</v>
      </c>
      <c r="J9" s="3" t="e">
        <f ca="1">IF(SUMIFS(DB[[CONTROLE2]:[CONTROLE2]],DB[[COR]:[COR]],$C9,DB[[TAMANHO]:[TAMANHO]],J$5,INDIRECT("DB[["&amp;$C$4&amp;"]:["&amp;$C$4&amp;"]]"),J$7) = 0, "", SUMIFS(DB[[CONTROLE2]:[CONTROLE2]],DB[[COR]:[COR]],$C9,DB[[TAMANHO]:[TAMANHO]],J$5,INDIRECT("DB[["&amp;$C$4&amp;"]:["&amp;$C$4&amp;"]]"),J$7))</f>
        <v>#REF!</v>
      </c>
      <c r="K9" s="3" t="e">
        <f ca="1">IF(SUMIFS(DB[[CONTROLE2]:[CONTROLE2]],DB[[COR]:[COR]],$C9,DB[[TAMANHO]:[TAMANHO]],K$5,INDIRECT("DB[["&amp;$C$4&amp;"]:["&amp;$C$4&amp;"]]"),K$7) = 0, "", SUMIFS(DB[[CONTROLE2]:[CONTROLE2]],DB[[COR]:[COR]],$C9,DB[[TAMANHO]:[TAMANHO]],K$5,INDIRECT("DB[["&amp;$C$4&amp;"]:["&amp;$C$4&amp;"]]"),K$7))</f>
        <v>#REF!</v>
      </c>
      <c r="L9" s="3" t="e">
        <f ca="1">IF(SUMIFS(DB[[CONTROLE2]:[CONTROLE2]],DB[[COR]:[COR]],$C9,DB[[TAMANHO]:[TAMANHO]],L$5,INDIRECT("DB[["&amp;$C$4&amp;"]:["&amp;$C$4&amp;"]]"),L$7) = 0, "", SUMIFS(DB[[CONTROLE2]:[CONTROLE2]],DB[[COR]:[COR]],$C9,DB[[TAMANHO]:[TAMANHO]],L$5,INDIRECT("DB[["&amp;$C$4&amp;"]:["&amp;$C$4&amp;"]]"),L$7))</f>
        <v>#REF!</v>
      </c>
      <c r="M9" s="3" t="e">
        <f ca="1">IF(SUMIFS(DB[[CONTROLE2]:[CONTROLE2]],DB[[COR]:[COR]],$C9,DB[[TAMANHO]:[TAMANHO]],M$5,INDIRECT("DB[["&amp;$C$4&amp;"]:["&amp;$C$4&amp;"]]"),M$7) = 0, "", SUMIFS(DB[[CONTROLE2]:[CONTROLE2]],DB[[COR]:[COR]],$C9,DB[[TAMANHO]:[TAMANHO]],M$5,INDIRECT("DB[["&amp;$C$4&amp;"]:["&amp;$C$4&amp;"]]"),M$7))</f>
        <v>#REF!</v>
      </c>
      <c r="N9" s="3" t="e">
        <f ca="1">IF(SUMIFS(DB[[CONTROLE2]:[CONTROLE2]],DB[[COR]:[COR]],$C9,DB[[TAMANHO]:[TAMANHO]],N$5,INDIRECT("DB[["&amp;$C$4&amp;"]:["&amp;$C$4&amp;"]]"),N$7) = 0, "", SUMIFS(DB[[CONTROLE2]:[CONTROLE2]],DB[[COR]:[COR]],$C9,DB[[TAMANHO]:[TAMANHO]],N$5,INDIRECT("DB[["&amp;$C$4&amp;"]:["&amp;$C$4&amp;"]]"),N$7))</f>
        <v>#REF!</v>
      </c>
      <c r="O9" s="3" t="e">
        <f ca="1">IF(SUMIFS(DB[[CONTROLE2]:[CONTROLE2]],DB[[COR]:[COR]],$C9,DB[[TAMANHO]:[TAMANHO]],O$5,INDIRECT("DB[["&amp;$C$4&amp;"]:["&amp;$C$4&amp;"]]"),O$7) = 0, "", SUMIFS(DB[[CONTROLE2]:[CONTROLE2]],DB[[COR]:[COR]],$C9,DB[[TAMANHO]:[TAMANHO]],O$5,INDIRECT("DB[["&amp;$C$4&amp;"]:["&amp;$C$4&amp;"]]"),O$7))</f>
        <v>#REF!</v>
      </c>
      <c r="P9" s="15" t="str">
        <f t="shared" ref="P9:P20" ca="1" si="3">SUMIF(D8:O8,LEFT($C5,$C6-1),D9:O9) &amp; "/" &amp; SUMIF(D8:O8,MID($C5,$C6+1,10),D9:O9)</f>
        <v>0/0</v>
      </c>
    </row>
    <row r="10" spans="1:19" x14ac:dyDescent="0.25">
      <c r="B10" s="22" t="e">
        <f t="shared" ca="1" si="2"/>
        <v>#REF!</v>
      </c>
      <c r="C10" s="4" t="s">
        <v>17</v>
      </c>
      <c r="D10" s="3" t="e">
        <f ca="1">IF(SUMIFS(DB[[CONTROLE2]:[CONTROLE2]],DB[[COR]:[COR]],$C10,DB[[TAMANHO]:[TAMANHO]],D$5,INDIRECT("DB[["&amp;$C$4&amp;"]:["&amp;$C$4&amp;"]]"),D$7) = 0, "", SUMIFS(DB[[CONTROLE2]:[CONTROLE2]],DB[[COR]:[COR]],$C10,DB[[TAMANHO]:[TAMANHO]],D$5,INDIRECT("DB[["&amp;$C$4&amp;"]:["&amp;$C$4&amp;"]]"),D$7))</f>
        <v>#REF!</v>
      </c>
      <c r="E10" s="3" t="e">
        <f ca="1">IF(SUMIFS(DB[[CONTROLE2]:[CONTROLE2]],DB[[COR]:[COR]],$C10,DB[[TAMANHO]:[TAMANHO]],E$5,INDIRECT("DB[["&amp;$C$4&amp;"]:["&amp;$C$4&amp;"]]"),E$7) = 0, "", SUMIFS(DB[[CONTROLE2]:[CONTROLE2]],DB[[COR]:[COR]],$C10,DB[[TAMANHO]:[TAMANHO]],E$5,INDIRECT("DB[["&amp;$C$4&amp;"]:["&amp;$C$4&amp;"]]"),E$7))</f>
        <v>#REF!</v>
      </c>
      <c r="F10" s="3" t="e">
        <f ca="1">IF(SUMIFS(DB[[CONTROLE2]:[CONTROLE2]],DB[[COR]:[COR]],$C10,DB[[TAMANHO]:[TAMANHO]],F$5,INDIRECT("DB[["&amp;$C$4&amp;"]:["&amp;$C$4&amp;"]]"),F$7) = 0, "", SUMIFS(DB[[CONTROLE2]:[CONTROLE2]],DB[[COR]:[COR]],$C10,DB[[TAMANHO]:[TAMANHO]],F$5,INDIRECT("DB[["&amp;$C$4&amp;"]:["&amp;$C$4&amp;"]]"),F$7))</f>
        <v>#REF!</v>
      </c>
      <c r="G10" s="3" t="e">
        <f ca="1">IF(SUMIFS(DB[[CONTROLE2]:[CONTROLE2]],DB[[COR]:[COR]],$C10,DB[[TAMANHO]:[TAMANHO]],G$5,INDIRECT("DB[["&amp;$C$4&amp;"]:["&amp;$C$4&amp;"]]"),G$7) = 0, "", SUMIFS(DB[[CONTROLE2]:[CONTROLE2]],DB[[COR]:[COR]],$C10,DB[[TAMANHO]:[TAMANHO]],G$5,INDIRECT("DB[["&amp;$C$4&amp;"]:["&amp;$C$4&amp;"]]"),G$7))</f>
        <v>#REF!</v>
      </c>
      <c r="H10" s="3" t="e">
        <f ca="1">IF(SUMIFS(DB[[CONTROLE2]:[CONTROLE2]],DB[[COR]:[COR]],$C10,DB[[TAMANHO]:[TAMANHO]],H$5,INDIRECT("DB[["&amp;$C$4&amp;"]:["&amp;$C$4&amp;"]]"),H$7) = 0, "", SUMIFS(DB[[CONTROLE2]:[CONTROLE2]],DB[[COR]:[COR]],$C10,DB[[TAMANHO]:[TAMANHO]],H$5,INDIRECT("DB[["&amp;$C$4&amp;"]:["&amp;$C$4&amp;"]]"),H$7))</f>
        <v>#REF!</v>
      </c>
      <c r="I10" s="3" t="e">
        <f ca="1">IF(SUMIFS(DB[[CONTROLE2]:[CONTROLE2]],DB[[COR]:[COR]],$C10,DB[[TAMANHO]:[TAMANHO]],I$5,INDIRECT("DB[["&amp;$C$4&amp;"]:["&amp;$C$4&amp;"]]"),I$7) = 0, "", SUMIFS(DB[[CONTROLE2]:[CONTROLE2]],DB[[COR]:[COR]],$C10,DB[[TAMANHO]:[TAMANHO]],I$5,INDIRECT("DB[["&amp;$C$4&amp;"]:["&amp;$C$4&amp;"]]"),I$7))</f>
        <v>#REF!</v>
      </c>
      <c r="J10" s="3" t="e">
        <f ca="1">IF(SUMIFS(DB[[CONTROLE2]:[CONTROLE2]],DB[[COR]:[COR]],$C10,DB[[TAMANHO]:[TAMANHO]],J$5,INDIRECT("DB[["&amp;$C$4&amp;"]:["&amp;$C$4&amp;"]]"),J$7) = 0, "", SUMIFS(DB[[CONTROLE2]:[CONTROLE2]],DB[[COR]:[COR]],$C10,DB[[TAMANHO]:[TAMANHO]],J$5,INDIRECT("DB[["&amp;$C$4&amp;"]:["&amp;$C$4&amp;"]]"),J$7))</f>
        <v>#REF!</v>
      </c>
      <c r="K10" s="3" t="e">
        <f ca="1">IF(SUMIFS(DB[[CONTROLE2]:[CONTROLE2]],DB[[COR]:[COR]],$C10,DB[[TAMANHO]:[TAMANHO]],K$5,INDIRECT("DB[["&amp;$C$4&amp;"]:["&amp;$C$4&amp;"]]"),K$7) = 0, "", SUMIFS(DB[[CONTROLE2]:[CONTROLE2]],DB[[COR]:[COR]],$C10,DB[[TAMANHO]:[TAMANHO]],K$5,INDIRECT("DB[["&amp;$C$4&amp;"]:["&amp;$C$4&amp;"]]"),K$7))</f>
        <v>#REF!</v>
      </c>
      <c r="L10" s="3" t="e">
        <f ca="1">IF(SUMIFS(DB[[CONTROLE2]:[CONTROLE2]],DB[[COR]:[COR]],$C10,DB[[TAMANHO]:[TAMANHO]],L$5,INDIRECT("DB[["&amp;$C$4&amp;"]:["&amp;$C$4&amp;"]]"),L$7) = 0, "", SUMIFS(DB[[CONTROLE2]:[CONTROLE2]],DB[[COR]:[COR]],$C10,DB[[TAMANHO]:[TAMANHO]],L$5,INDIRECT("DB[["&amp;$C$4&amp;"]:["&amp;$C$4&amp;"]]"),L$7))</f>
        <v>#REF!</v>
      </c>
      <c r="M10" s="3" t="e">
        <f ca="1">IF(SUMIFS(DB[[CONTROLE2]:[CONTROLE2]],DB[[COR]:[COR]],$C10,DB[[TAMANHO]:[TAMANHO]],M$5,INDIRECT("DB[["&amp;$C$4&amp;"]:["&amp;$C$4&amp;"]]"),M$7) = 0, "", SUMIFS(DB[[CONTROLE2]:[CONTROLE2]],DB[[COR]:[COR]],$C10,DB[[TAMANHO]:[TAMANHO]],M$5,INDIRECT("DB[["&amp;$C$4&amp;"]:["&amp;$C$4&amp;"]]"),M$7))</f>
        <v>#REF!</v>
      </c>
      <c r="N10" s="3" t="e">
        <f ca="1">IF(SUMIFS(DB[[CONTROLE2]:[CONTROLE2]],DB[[COR]:[COR]],$C10,DB[[TAMANHO]:[TAMANHO]],N$5,INDIRECT("DB[["&amp;$C$4&amp;"]:["&amp;$C$4&amp;"]]"),N$7) = 0, "", SUMIFS(DB[[CONTROLE2]:[CONTROLE2]],DB[[COR]:[COR]],$C10,DB[[TAMANHO]:[TAMANHO]],N$5,INDIRECT("DB[["&amp;$C$4&amp;"]:["&amp;$C$4&amp;"]]"),N$7))</f>
        <v>#REF!</v>
      </c>
      <c r="O10" s="3" t="e">
        <f ca="1">IF(SUMIFS(DB[[CONTROLE2]:[CONTROLE2]],DB[[COR]:[COR]],$C10,DB[[TAMANHO]:[TAMANHO]],O$5,INDIRECT("DB[["&amp;$C$4&amp;"]:["&amp;$C$4&amp;"]]"),O$7) = 0, "", SUMIFS(DB[[CONTROLE2]:[CONTROLE2]],DB[[COR]:[COR]],$C10,DB[[TAMANHO]:[TAMANHO]],O$5,INDIRECT("DB[["&amp;$C$4&amp;"]:["&amp;$C$4&amp;"]]"),O$7))</f>
        <v>#REF!</v>
      </c>
      <c r="P10" s="15" t="str">
        <f t="shared" ca="1" si="3"/>
        <v>0/0</v>
      </c>
    </row>
    <row r="11" spans="1:19" x14ac:dyDescent="0.25">
      <c r="B11" s="22" t="e">
        <f t="shared" ca="1" si="2"/>
        <v>#REF!</v>
      </c>
      <c r="C11" s="4" t="s">
        <v>19</v>
      </c>
      <c r="D11" s="3" t="e">
        <f ca="1">IF(SUMIFS(DB[[CONTROLE2]:[CONTROLE2]],DB[[COR]:[COR]],$C11,DB[[TAMANHO]:[TAMANHO]],D$5,INDIRECT("DB[["&amp;$C$4&amp;"]:["&amp;$C$4&amp;"]]"),D$7) = 0, "", SUMIFS(DB[[CONTROLE2]:[CONTROLE2]],DB[[COR]:[COR]],$C11,DB[[TAMANHO]:[TAMANHO]],D$5,INDIRECT("DB[["&amp;$C$4&amp;"]:["&amp;$C$4&amp;"]]"),D$7))</f>
        <v>#REF!</v>
      </c>
      <c r="E11" s="3" t="e">
        <f ca="1">IF(SUMIFS(DB[[CONTROLE2]:[CONTROLE2]],DB[[COR]:[COR]],$C11,DB[[TAMANHO]:[TAMANHO]],E$5,INDIRECT("DB[["&amp;$C$4&amp;"]:["&amp;$C$4&amp;"]]"),E$7) = 0, "", SUMIFS(DB[[CONTROLE2]:[CONTROLE2]],DB[[COR]:[COR]],$C11,DB[[TAMANHO]:[TAMANHO]],E$5,INDIRECT("DB[["&amp;$C$4&amp;"]:["&amp;$C$4&amp;"]]"),E$7))</f>
        <v>#REF!</v>
      </c>
      <c r="F11" s="3" t="e">
        <f ca="1">IF(SUMIFS(DB[[CONTROLE2]:[CONTROLE2]],DB[[COR]:[COR]],$C11,DB[[TAMANHO]:[TAMANHO]],F$5,INDIRECT("DB[["&amp;$C$4&amp;"]:["&amp;$C$4&amp;"]]"),F$7) = 0, "", SUMIFS(DB[[CONTROLE2]:[CONTROLE2]],DB[[COR]:[COR]],$C11,DB[[TAMANHO]:[TAMANHO]],F$5,INDIRECT("DB[["&amp;$C$4&amp;"]:["&amp;$C$4&amp;"]]"),F$7))</f>
        <v>#REF!</v>
      </c>
      <c r="G11" s="3" t="e">
        <f ca="1">IF(SUMIFS(DB[[CONTROLE2]:[CONTROLE2]],DB[[COR]:[COR]],$C11,DB[[TAMANHO]:[TAMANHO]],G$5,INDIRECT("DB[["&amp;$C$4&amp;"]:["&amp;$C$4&amp;"]]"),G$7) = 0, "", SUMIFS(DB[[CONTROLE2]:[CONTROLE2]],DB[[COR]:[COR]],$C11,DB[[TAMANHO]:[TAMANHO]],G$5,INDIRECT("DB[["&amp;$C$4&amp;"]:["&amp;$C$4&amp;"]]"),G$7))</f>
        <v>#REF!</v>
      </c>
      <c r="H11" s="3" t="e">
        <f ca="1">IF(SUMIFS(DB[[CONTROLE2]:[CONTROLE2]],DB[[COR]:[COR]],$C11,DB[[TAMANHO]:[TAMANHO]],H$5,INDIRECT("DB[["&amp;$C$4&amp;"]:["&amp;$C$4&amp;"]]"),H$7) = 0, "", SUMIFS(DB[[CONTROLE2]:[CONTROLE2]],DB[[COR]:[COR]],$C11,DB[[TAMANHO]:[TAMANHO]],H$5,INDIRECT("DB[["&amp;$C$4&amp;"]:["&amp;$C$4&amp;"]]"),H$7))</f>
        <v>#REF!</v>
      </c>
      <c r="I11" s="3" t="e">
        <f ca="1">IF(SUMIFS(DB[[CONTROLE2]:[CONTROLE2]],DB[[COR]:[COR]],$C11,DB[[TAMANHO]:[TAMANHO]],I$5,INDIRECT("DB[["&amp;$C$4&amp;"]:["&amp;$C$4&amp;"]]"),I$7) = 0, "", SUMIFS(DB[[CONTROLE2]:[CONTROLE2]],DB[[COR]:[COR]],$C11,DB[[TAMANHO]:[TAMANHO]],I$5,INDIRECT("DB[["&amp;$C$4&amp;"]:["&amp;$C$4&amp;"]]"),I$7))</f>
        <v>#REF!</v>
      </c>
      <c r="J11" s="3" t="e">
        <f ca="1">IF(SUMIFS(DB[[CONTROLE2]:[CONTROLE2]],DB[[COR]:[COR]],$C11,DB[[TAMANHO]:[TAMANHO]],J$5,INDIRECT("DB[["&amp;$C$4&amp;"]:["&amp;$C$4&amp;"]]"),J$7) = 0, "", SUMIFS(DB[[CONTROLE2]:[CONTROLE2]],DB[[COR]:[COR]],$C11,DB[[TAMANHO]:[TAMANHO]],J$5,INDIRECT("DB[["&amp;$C$4&amp;"]:["&amp;$C$4&amp;"]]"),J$7))</f>
        <v>#REF!</v>
      </c>
      <c r="K11" s="3" t="e">
        <f ca="1">IF(SUMIFS(DB[[CONTROLE2]:[CONTROLE2]],DB[[COR]:[COR]],$C11,DB[[TAMANHO]:[TAMANHO]],K$5,INDIRECT("DB[["&amp;$C$4&amp;"]:["&amp;$C$4&amp;"]]"),K$7) = 0, "", SUMIFS(DB[[CONTROLE2]:[CONTROLE2]],DB[[COR]:[COR]],$C11,DB[[TAMANHO]:[TAMANHO]],K$5,INDIRECT("DB[["&amp;$C$4&amp;"]:["&amp;$C$4&amp;"]]"),K$7))</f>
        <v>#REF!</v>
      </c>
      <c r="L11" s="3" t="e">
        <f ca="1">IF(SUMIFS(DB[[CONTROLE2]:[CONTROLE2]],DB[[COR]:[COR]],$C11,DB[[TAMANHO]:[TAMANHO]],L$5,INDIRECT("DB[["&amp;$C$4&amp;"]:["&amp;$C$4&amp;"]]"),L$7) = 0, "", SUMIFS(DB[[CONTROLE2]:[CONTROLE2]],DB[[COR]:[COR]],$C11,DB[[TAMANHO]:[TAMANHO]],L$5,INDIRECT("DB[["&amp;$C$4&amp;"]:["&amp;$C$4&amp;"]]"),L$7))</f>
        <v>#REF!</v>
      </c>
      <c r="M11" s="3" t="e">
        <f ca="1">IF(SUMIFS(DB[[CONTROLE2]:[CONTROLE2]],DB[[COR]:[COR]],$C11,DB[[TAMANHO]:[TAMANHO]],M$5,INDIRECT("DB[["&amp;$C$4&amp;"]:["&amp;$C$4&amp;"]]"),M$7) = 0, "", SUMIFS(DB[[CONTROLE2]:[CONTROLE2]],DB[[COR]:[COR]],$C11,DB[[TAMANHO]:[TAMANHO]],M$5,INDIRECT("DB[["&amp;$C$4&amp;"]:["&amp;$C$4&amp;"]]"),M$7))</f>
        <v>#REF!</v>
      </c>
      <c r="N11" s="3" t="e">
        <f ca="1">IF(SUMIFS(DB[[CONTROLE2]:[CONTROLE2]],DB[[COR]:[COR]],$C11,DB[[TAMANHO]:[TAMANHO]],N$5,INDIRECT("DB[["&amp;$C$4&amp;"]:["&amp;$C$4&amp;"]]"),N$7) = 0, "", SUMIFS(DB[[CONTROLE2]:[CONTROLE2]],DB[[COR]:[COR]],$C11,DB[[TAMANHO]:[TAMANHO]],N$5,INDIRECT("DB[["&amp;$C$4&amp;"]:["&amp;$C$4&amp;"]]"),N$7))</f>
        <v>#REF!</v>
      </c>
      <c r="O11" s="3" t="e">
        <f ca="1">IF(SUMIFS(DB[[CONTROLE2]:[CONTROLE2]],DB[[COR]:[COR]],$C11,DB[[TAMANHO]:[TAMANHO]],O$5,INDIRECT("DB[["&amp;$C$4&amp;"]:["&amp;$C$4&amp;"]]"),O$7) = 0, "", SUMIFS(DB[[CONTROLE2]:[CONTROLE2]],DB[[COR]:[COR]],$C11,DB[[TAMANHO]:[TAMANHO]],O$5,INDIRECT("DB[["&amp;$C$4&amp;"]:["&amp;$C$4&amp;"]]"),O$7))</f>
        <v>#REF!</v>
      </c>
      <c r="P11" s="15" t="str">
        <f t="shared" ca="1" si="3"/>
        <v>0/0</v>
      </c>
    </row>
    <row r="12" spans="1:19" x14ac:dyDescent="0.25">
      <c r="B12" s="22" t="e">
        <f t="shared" ca="1" si="2"/>
        <v>#REF!</v>
      </c>
      <c r="C12" s="4" t="s">
        <v>20</v>
      </c>
      <c r="D12" s="3" t="e">
        <f ca="1">IF(SUMIFS(DB[[CONTROLE2]:[CONTROLE2]],DB[[COR]:[COR]],$C12,DB[[TAMANHO]:[TAMANHO]],D$5,INDIRECT("DB[["&amp;$C$4&amp;"]:["&amp;$C$4&amp;"]]"),D$7) = 0, "", SUMIFS(DB[[CONTROLE2]:[CONTROLE2]],DB[[COR]:[COR]],$C12,DB[[TAMANHO]:[TAMANHO]],D$5,INDIRECT("DB[["&amp;$C$4&amp;"]:["&amp;$C$4&amp;"]]"),D$7))</f>
        <v>#REF!</v>
      </c>
      <c r="E12" s="3" t="e">
        <f ca="1">IF(SUMIFS(DB[[CONTROLE2]:[CONTROLE2]],DB[[COR]:[COR]],$C12,DB[[TAMANHO]:[TAMANHO]],E$5,INDIRECT("DB[["&amp;$C$4&amp;"]:["&amp;$C$4&amp;"]]"),E$7) = 0, "", SUMIFS(DB[[CONTROLE2]:[CONTROLE2]],DB[[COR]:[COR]],$C12,DB[[TAMANHO]:[TAMANHO]],E$5,INDIRECT("DB[["&amp;$C$4&amp;"]:["&amp;$C$4&amp;"]]"),E$7))</f>
        <v>#REF!</v>
      </c>
      <c r="F12" s="3" t="e">
        <f ca="1">IF(SUMIFS(DB[[CONTROLE2]:[CONTROLE2]],DB[[COR]:[COR]],$C12,DB[[TAMANHO]:[TAMANHO]],F$5,INDIRECT("DB[["&amp;$C$4&amp;"]:["&amp;$C$4&amp;"]]"),F$7) = 0, "", SUMIFS(DB[[CONTROLE2]:[CONTROLE2]],DB[[COR]:[COR]],$C12,DB[[TAMANHO]:[TAMANHO]],F$5,INDIRECT("DB[["&amp;$C$4&amp;"]:["&amp;$C$4&amp;"]]"),F$7))</f>
        <v>#REF!</v>
      </c>
      <c r="G12" s="3" t="e">
        <f ca="1">IF(SUMIFS(DB[[CONTROLE2]:[CONTROLE2]],DB[[COR]:[COR]],$C12,DB[[TAMANHO]:[TAMANHO]],G$5,INDIRECT("DB[["&amp;$C$4&amp;"]:["&amp;$C$4&amp;"]]"),G$7) = 0, "", SUMIFS(DB[[CONTROLE2]:[CONTROLE2]],DB[[COR]:[COR]],$C12,DB[[TAMANHO]:[TAMANHO]],G$5,INDIRECT("DB[["&amp;$C$4&amp;"]:["&amp;$C$4&amp;"]]"),G$7))</f>
        <v>#REF!</v>
      </c>
      <c r="H12" s="3" t="e">
        <f ca="1">IF(SUMIFS(DB[[CONTROLE2]:[CONTROLE2]],DB[[COR]:[COR]],$C12,DB[[TAMANHO]:[TAMANHO]],H$5,INDIRECT("DB[["&amp;$C$4&amp;"]:["&amp;$C$4&amp;"]]"),H$7) = 0, "", SUMIFS(DB[[CONTROLE2]:[CONTROLE2]],DB[[COR]:[COR]],$C12,DB[[TAMANHO]:[TAMANHO]],H$5,INDIRECT("DB[["&amp;$C$4&amp;"]:["&amp;$C$4&amp;"]]"),H$7))</f>
        <v>#REF!</v>
      </c>
      <c r="I12" s="3" t="e">
        <f ca="1">IF(SUMIFS(DB[[CONTROLE2]:[CONTROLE2]],DB[[COR]:[COR]],$C12,DB[[TAMANHO]:[TAMANHO]],I$5,INDIRECT("DB[["&amp;$C$4&amp;"]:["&amp;$C$4&amp;"]]"),I$7) = 0, "", SUMIFS(DB[[CONTROLE2]:[CONTROLE2]],DB[[COR]:[COR]],$C12,DB[[TAMANHO]:[TAMANHO]],I$5,INDIRECT("DB[["&amp;$C$4&amp;"]:["&amp;$C$4&amp;"]]"),I$7))</f>
        <v>#REF!</v>
      </c>
      <c r="J12" s="3" t="e">
        <f ca="1">IF(SUMIFS(DB[[CONTROLE2]:[CONTROLE2]],DB[[COR]:[COR]],$C12,DB[[TAMANHO]:[TAMANHO]],J$5,INDIRECT("DB[["&amp;$C$4&amp;"]:["&amp;$C$4&amp;"]]"),J$7) = 0, "", SUMIFS(DB[[CONTROLE2]:[CONTROLE2]],DB[[COR]:[COR]],$C12,DB[[TAMANHO]:[TAMANHO]],J$5,INDIRECT("DB[["&amp;$C$4&amp;"]:["&amp;$C$4&amp;"]]"),J$7))</f>
        <v>#REF!</v>
      </c>
      <c r="K12" s="3" t="e">
        <f ca="1">IF(SUMIFS(DB[[CONTROLE2]:[CONTROLE2]],DB[[COR]:[COR]],$C12,DB[[TAMANHO]:[TAMANHO]],K$5,INDIRECT("DB[["&amp;$C$4&amp;"]:["&amp;$C$4&amp;"]]"),K$7) = 0, "", SUMIFS(DB[[CONTROLE2]:[CONTROLE2]],DB[[COR]:[COR]],$C12,DB[[TAMANHO]:[TAMANHO]],K$5,INDIRECT("DB[["&amp;$C$4&amp;"]:["&amp;$C$4&amp;"]]"),K$7))</f>
        <v>#REF!</v>
      </c>
      <c r="L12" s="3" t="e">
        <f ca="1">IF(SUMIFS(DB[[CONTROLE2]:[CONTROLE2]],DB[[COR]:[COR]],$C12,DB[[TAMANHO]:[TAMANHO]],L$5,INDIRECT("DB[["&amp;$C$4&amp;"]:["&amp;$C$4&amp;"]]"),L$7) = 0, "", SUMIFS(DB[[CONTROLE2]:[CONTROLE2]],DB[[COR]:[COR]],$C12,DB[[TAMANHO]:[TAMANHO]],L$5,INDIRECT("DB[["&amp;$C$4&amp;"]:["&amp;$C$4&amp;"]]"),L$7))</f>
        <v>#REF!</v>
      </c>
      <c r="M12" s="3" t="e">
        <f ca="1">IF(SUMIFS(DB[[CONTROLE2]:[CONTROLE2]],DB[[COR]:[COR]],$C12,DB[[TAMANHO]:[TAMANHO]],M$5,INDIRECT("DB[["&amp;$C$4&amp;"]:["&amp;$C$4&amp;"]]"),M$7) = 0, "", SUMIFS(DB[[CONTROLE2]:[CONTROLE2]],DB[[COR]:[COR]],$C12,DB[[TAMANHO]:[TAMANHO]],M$5,INDIRECT("DB[["&amp;$C$4&amp;"]:["&amp;$C$4&amp;"]]"),M$7))</f>
        <v>#REF!</v>
      </c>
      <c r="N12" s="3" t="e">
        <f ca="1">IF(SUMIFS(DB[[CONTROLE2]:[CONTROLE2]],DB[[COR]:[COR]],$C12,DB[[TAMANHO]:[TAMANHO]],N$5,INDIRECT("DB[["&amp;$C$4&amp;"]:["&amp;$C$4&amp;"]]"),N$7) = 0, "", SUMIFS(DB[[CONTROLE2]:[CONTROLE2]],DB[[COR]:[COR]],$C12,DB[[TAMANHO]:[TAMANHO]],N$5,INDIRECT("DB[["&amp;$C$4&amp;"]:["&amp;$C$4&amp;"]]"),N$7))</f>
        <v>#REF!</v>
      </c>
      <c r="O12" s="3" t="e">
        <f ca="1">IF(SUMIFS(DB[[CONTROLE2]:[CONTROLE2]],DB[[COR]:[COR]],$C12,DB[[TAMANHO]:[TAMANHO]],O$5,INDIRECT("DB[["&amp;$C$4&amp;"]:["&amp;$C$4&amp;"]]"),O$7) = 0, "", SUMIFS(DB[[CONTROLE2]:[CONTROLE2]],DB[[COR]:[COR]],$C12,DB[[TAMANHO]:[TAMANHO]],O$5,INDIRECT("DB[["&amp;$C$4&amp;"]:["&amp;$C$4&amp;"]]"),O$7))</f>
        <v>#REF!</v>
      </c>
      <c r="P12" s="15" t="str">
        <f t="shared" ca="1" si="3"/>
        <v>0/0</v>
      </c>
    </row>
    <row r="13" spans="1:19" x14ac:dyDescent="0.25">
      <c r="B13" s="22" t="e">
        <f t="shared" ca="1" si="2"/>
        <v>#REF!</v>
      </c>
      <c r="C13" s="4" t="s">
        <v>57</v>
      </c>
      <c r="D13" s="3" t="e">
        <f ca="1">IF(SUMIFS(DB[[CONTROLE2]:[CONTROLE2]],DB[[COR]:[COR]],$C13,DB[[TAMANHO]:[TAMANHO]],D$5,INDIRECT("DB[["&amp;$C$4&amp;"]:["&amp;$C$4&amp;"]]"),D$7) = 0, "", SUMIFS(DB[[CONTROLE2]:[CONTROLE2]],DB[[COR]:[COR]],$C13,DB[[TAMANHO]:[TAMANHO]],D$5,INDIRECT("DB[["&amp;$C$4&amp;"]:["&amp;$C$4&amp;"]]"),D$7))</f>
        <v>#REF!</v>
      </c>
      <c r="E13" s="3" t="e">
        <f ca="1">IF(SUMIFS(DB[[CONTROLE2]:[CONTROLE2]],DB[[COR]:[COR]],$C13,DB[[TAMANHO]:[TAMANHO]],E$5,INDIRECT("DB[["&amp;$C$4&amp;"]:["&amp;$C$4&amp;"]]"),E$7) = 0, "", SUMIFS(DB[[CONTROLE2]:[CONTROLE2]],DB[[COR]:[COR]],$C13,DB[[TAMANHO]:[TAMANHO]],E$5,INDIRECT("DB[["&amp;$C$4&amp;"]:["&amp;$C$4&amp;"]]"),E$7))</f>
        <v>#REF!</v>
      </c>
      <c r="F13" s="3" t="e">
        <f ca="1">IF(SUMIFS(DB[[CONTROLE2]:[CONTROLE2]],DB[[COR]:[COR]],$C13,DB[[TAMANHO]:[TAMANHO]],F$5,INDIRECT("DB[["&amp;$C$4&amp;"]:["&amp;$C$4&amp;"]]"),F$7) = 0, "", SUMIFS(DB[[CONTROLE2]:[CONTROLE2]],DB[[COR]:[COR]],$C13,DB[[TAMANHO]:[TAMANHO]],F$5,INDIRECT("DB[["&amp;$C$4&amp;"]:["&amp;$C$4&amp;"]]"),F$7))</f>
        <v>#REF!</v>
      </c>
      <c r="G13" s="3" t="e">
        <f ca="1">IF(SUMIFS(DB[[CONTROLE2]:[CONTROLE2]],DB[[COR]:[COR]],$C13,DB[[TAMANHO]:[TAMANHO]],G$5,INDIRECT("DB[["&amp;$C$4&amp;"]:["&amp;$C$4&amp;"]]"),G$7) = 0, "", SUMIFS(DB[[CONTROLE2]:[CONTROLE2]],DB[[COR]:[COR]],$C13,DB[[TAMANHO]:[TAMANHO]],G$5,INDIRECT("DB[["&amp;$C$4&amp;"]:["&amp;$C$4&amp;"]]"),G$7))</f>
        <v>#REF!</v>
      </c>
      <c r="H13" s="3" t="e">
        <f ca="1">IF(SUMIFS(DB[[CONTROLE2]:[CONTROLE2]],DB[[COR]:[COR]],$C13,DB[[TAMANHO]:[TAMANHO]],H$5,INDIRECT("DB[["&amp;$C$4&amp;"]:["&amp;$C$4&amp;"]]"),H$7) = 0, "", SUMIFS(DB[[CONTROLE2]:[CONTROLE2]],DB[[COR]:[COR]],$C13,DB[[TAMANHO]:[TAMANHO]],H$5,INDIRECT("DB[["&amp;$C$4&amp;"]:["&amp;$C$4&amp;"]]"),H$7))</f>
        <v>#REF!</v>
      </c>
      <c r="I13" s="3" t="e">
        <f ca="1">IF(SUMIFS(DB[[CONTROLE2]:[CONTROLE2]],DB[[COR]:[COR]],$C13,DB[[TAMANHO]:[TAMANHO]],I$5,INDIRECT("DB[["&amp;$C$4&amp;"]:["&amp;$C$4&amp;"]]"),I$7) = 0, "", SUMIFS(DB[[CONTROLE2]:[CONTROLE2]],DB[[COR]:[COR]],$C13,DB[[TAMANHO]:[TAMANHO]],I$5,INDIRECT("DB[["&amp;$C$4&amp;"]:["&amp;$C$4&amp;"]]"),I$7))</f>
        <v>#REF!</v>
      </c>
      <c r="J13" s="3" t="e">
        <f ca="1">IF(SUMIFS(DB[[CONTROLE2]:[CONTROLE2]],DB[[COR]:[COR]],$C13,DB[[TAMANHO]:[TAMANHO]],J$5,INDIRECT("DB[["&amp;$C$4&amp;"]:["&amp;$C$4&amp;"]]"),J$7) = 0, "", SUMIFS(DB[[CONTROLE2]:[CONTROLE2]],DB[[COR]:[COR]],$C13,DB[[TAMANHO]:[TAMANHO]],J$5,INDIRECT("DB[["&amp;$C$4&amp;"]:["&amp;$C$4&amp;"]]"),J$7))</f>
        <v>#REF!</v>
      </c>
      <c r="K13" s="3" t="e">
        <f ca="1">IF(SUMIFS(DB[[CONTROLE2]:[CONTROLE2]],DB[[COR]:[COR]],$C13,DB[[TAMANHO]:[TAMANHO]],K$5,INDIRECT("DB[["&amp;$C$4&amp;"]:["&amp;$C$4&amp;"]]"),K$7) = 0, "", SUMIFS(DB[[CONTROLE2]:[CONTROLE2]],DB[[COR]:[COR]],$C13,DB[[TAMANHO]:[TAMANHO]],K$5,INDIRECT("DB[["&amp;$C$4&amp;"]:["&amp;$C$4&amp;"]]"),K$7))</f>
        <v>#REF!</v>
      </c>
      <c r="L13" s="3" t="e">
        <f ca="1">IF(SUMIFS(DB[[CONTROLE2]:[CONTROLE2]],DB[[COR]:[COR]],$C13,DB[[TAMANHO]:[TAMANHO]],L$5,INDIRECT("DB[["&amp;$C$4&amp;"]:["&amp;$C$4&amp;"]]"),L$7) = 0, "", SUMIFS(DB[[CONTROLE2]:[CONTROLE2]],DB[[COR]:[COR]],$C13,DB[[TAMANHO]:[TAMANHO]],L$5,INDIRECT("DB[["&amp;$C$4&amp;"]:["&amp;$C$4&amp;"]]"),L$7))</f>
        <v>#REF!</v>
      </c>
      <c r="M13" s="3" t="e">
        <f ca="1">IF(SUMIFS(DB[[CONTROLE2]:[CONTROLE2]],DB[[COR]:[COR]],$C13,DB[[TAMANHO]:[TAMANHO]],M$5,INDIRECT("DB[["&amp;$C$4&amp;"]:["&amp;$C$4&amp;"]]"),M$7) = 0, "", SUMIFS(DB[[CONTROLE2]:[CONTROLE2]],DB[[COR]:[COR]],$C13,DB[[TAMANHO]:[TAMANHO]],M$5,INDIRECT("DB[["&amp;$C$4&amp;"]:["&amp;$C$4&amp;"]]"),M$7))</f>
        <v>#REF!</v>
      </c>
      <c r="N13" s="3" t="e">
        <f ca="1">IF(SUMIFS(DB[[CONTROLE2]:[CONTROLE2]],DB[[COR]:[COR]],$C13,DB[[TAMANHO]:[TAMANHO]],N$5,INDIRECT("DB[["&amp;$C$4&amp;"]:["&amp;$C$4&amp;"]]"),N$7) = 0, "", SUMIFS(DB[[CONTROLE2]:[CONTROLE2]],DB[[COR]:[COR]],$C13,DB[[TAMANHO]:[TAMANHO]],N$5,INDIRECT("DB[["&amp;$C$4&amp;"]:["&amp;$C$4&amp;"]]"),N$7))</f>
        <v>#REF!</v>
      </c>
      <c r="O13" s="3" t="e">
        <f ca="1">IF(SUMIFS(DB[[CONTROLE2]:[CONTROLE2]],DB[[COR]:[COR]],$C13,DB[[TAMANHO]:[TAMANHO]],O$5,INDIRECT("DB[["&amp;$C$4&amp;"]:["&amp;$C$4&amp;"]]"),O$7) = 0, "", SUMIFS(DB[[CONTROLE2]:[CONTROLE2]],DB[[COR]:[COR]],$C13,DB[[TAMANHO]:[TAMANHO]],O$5,INDIRECT("DB[["&amp;$C$4&amp;"]:["&amp;$C$4&amp;"]]"),O$7))</f>
        <v>#REF!</v>
      </c>
      <c r="P13" s="15" t="str">
        <f t="shared" ca="1" si="3"/>
        <v>0/0</v>
      </c>
    </row>
    <row r="14" spans="1:19" x14ac:dyDescent="0.25">
      <c r="B14" s="22" t="e">
        <f t="shared" ca="1" si="2"/>
        <v>#REF!</v>
      </c>
      <c r="C14" s="4" t="s">
        <v>55</v>
      </c>
      <c r="D14" s="3" t="e">
        <f ca="1">IF(SUMIFS(DB[[CONTROLE2]:[CONTROLE2]],DB[[COR]:[COR]],$C14,DB[[TAMANHO]:[TAMANHO]],D$5,INDIRECT("DB[["&amp;$C$4&amp;"]:["&amp;$C$4&amp;"]]"),D$7) = 0, "", SUMIFS(DB[[CONTROLE2]:[CONTROLE2]],DB[[COR]:[COR]],$C14,DB[[TAMANHO]:[TAMANHO]],D$5,INDIRECT("DB[["&amp;$C$4&amp;"]:["&amp;$C$4&amp;"]]"),D$7))</f>
        <v>#REF!</v>
      </c>
      <c r="E14" s="3" t="e">
        <f ca="1">IF(SUMIFS(DB[[CONTROLE2]:[CONTROLE2]],DB[[COR]:[COR]],$C14,DB[[TAMANHO]:[TAMANHO]],E$5,INDIRECT("DB[["&amp;$C$4&amp;"]:["&amp;$C$4&amp;"]]"),E$7) = 0, "", SUMIFS(DB[[CONTROLE2]:[CONTROLE2]],DB[[COR]:[COR]],$C14,DB[[TAMANHO]:[TAMANHO]],E$5,INDIRECT("DB[["&amp;$C$4&amp;"]:["&amp;$C$4&amp;"]]"),E$7))</f>
        <v>#REF!</v>
      </c>
      <c r="F14" s="3" t="e">
        <f ca="1">IF(SUMIFS(DB[[CONTROLE2]:[CONTROLE2]],DB[[COR]:[COR]],$C14,DB[[TAMANHO]:[TAMANHO]],F$5,INDIRECT("DB[["&amp;$C$4&amp;"]:["&amp;$C$4&amp;"]]"),F$7) = 0, "", SUMIFS(DB[[CONTROLE2]:[CONTROLE2]],DB[[COR]:[COR]],$C14,DB[[TAMANHO]:[TAMANHO]],F$5,INDIRECT("DB[["&amp;$C$4&amp;"]:["&amp;$C$4&amp;"]]"),F$7))</f>
        <v>#REF!</v>
      </c>
      <c r="G14" s="3" t="e">
        <f ca="1">IF(SUMIFS(DB[[CONTROLE2]:[CONTROLE2]],DB[[COR]:[COR]],$C14,DB[[TAMANHO]:[TAMANHO]],G$5,INDIRECT("DB[["&amp;$C$4&amp;"]:["&amp;$C$4&amp;"]]"),G$7) = 0, "", SUMIFS(DB[[CONTROLE2]:[CONTROLE2]],DB[[COR]:[COR]],$C14,DB[[TAMANHO]:[TAMANHO]],G$5,INDIRECT("DB[["&amp;$C$4&amp;"]:["&amp;$C$4&amp;"]]"),G$7))</f>
        <v>#REF!</v>
      </c>
      <c r="H14" s="3" t="e">
        <f ca="1">IF(SUMIFS(DB[[CONTROLE2]:[CONTROLE2]],DB[[COR]:[COR]],$C14,DB[[TAMANHO]:[TAMANHO]],H$5,INDIRECT("DB[["&amp;$C$4&amp;"]:["&amp;$C$4&amp;"]]"),H$7) = 0, "", SUMIFS(DB[[CONTROLE2]:[CONTROLE2]],DB[[COR]:[COR]],$C14,DB[[TAMANHO]:[TAMANHO]],H$5,INDIRECT("DB[["&amp;$C$4&amp;"]:["&amp;$C$4&amp;"]]"),H$7))</f>
        <v>#REF!</v>
      </c>
      <c r="I14" s="3" t="e">
        <f ca="1">IF(SUMIFS(DB[[CONTROLE2]:[CONTROLE2]],DB[[COR]:[COR]],$C14,DB[[TAMANHO]:[TAMANHO]],I$5,INDIRECT("DB[["&amp;$C$4&amp;"]:["&amp;$C$4&amp;"]]"),I$7) = 0, "", SUMIFS(DB[[CONTROLE2]:[CONTROLE2]],DB[[COR]:[COR]],$C14,DB[[TAMANHO]:[TAMANHO]],I$5,INDIRECT("DB[["&amp;$C$4&amp;"]:["&amp;$C$4&amp;"]]"),I$7))</f>
        <v>#REF!</v>
      </c>
      <c r="J14" s="3" t="e">
        <f ca="1">IF(SUMIFS(DB[[CONTROLE2]:[CONTROLE2]],DB[[COR]:[COR]],$C14,DB[[TAMANHO]:[TAMANHO]],J$5,INDIRECT("DB[["&amp;$C$4&amp;"]:["&amp;$C$4&amp;"]]"),J$7) = 0, "", SUMIFS(DB[[CONTROLE2]:[CONTROLE2]],DB[[COR]:[COR]],$C14,DB[[TAMANHO]:[TAMANHO]],J$5,INDIRECT("DB[["&amp;$C$4&amp;"]:["&amp;$C$4&amp;"]]"),J$7))</f>
        <v>#REF!</v>
      </c>
      <c r="K14" s="3" t="e">
        <f ca="1">IF(SUMIFS(DB[[CONTROLE2]:[CONTROLE2]],DB[[COR]:[COR]],$C14,DB[[TAMANHO]:[TAMANHO]],K$5,INDIRECT("DB[["&amp;$C$4&amp;"]:["&amp;$C$4&amp;"]]"),K$7) = 0, "", SUMIFS(DB[[CONTROLE2]:[CONTROLE2]],DB[[COR]:[COR]],$C14,DB[[TAMANHO]:[TAMANHO]],K$5,INDIRECT("DB[["&amp;$C$4&amp;"]:["&amp;$C$4&amp;"]]"),K$7))</f>
        <v>#REF!</v>
      </c>
      <c r="L14" s="3" t="e">
        <f ca="1">IF(SUMIFS(DB[[CONTROLE2]:[CONTROLE2]],DB[[COR]:[COR]],$C14,DB[[TAMANHO]:[TAMANHO]],L$5,INDIRECT("DB[["&amp;$C$4&amp;"]:["&amp;$C$4&amp;"]]"),L$7) = 0, "", SUMIFS(DB[[CONTROLE2]:[CONTROLE2]],DB[[COR]:[COR]],$C14,DB[[TAMANHO]:[TAMANHO]],L$5,INDIRECT("DB[["&amp;$C$4&amp;"]:["&amp;$C$4&amp;"]]"),L$7))</f>
        <v>#REF!</v>
      </c>
      <c r="M14" s="3" t="e">
        <f ca="1">IF(SUMIFS(DB[[CONTROLE2]:[CONTROLE2]],DB[[COR]:[COR]],$C14,DB[[TAMANHO]:[TAMANHO]],M$5,INDIRECT("DB[["&amp;$C$4&amp;"]:["&amp;$C$4&amp;"]]"),M$7) = 0, "", SUMIFS(DB[[CONTROLE2]:[CONTROLE2]],DB[[COR]:[COR]],$C14,DB[[TAMANHO]:[TAMANHO]],M$5,INDIRECT("DB[["&amp;$C$4&amp;"]:["&amp;$C$4&amp;"]]"),M$7))</f>
        <v>#REF!</v>
      </c>
      <c r="N14" s="3" t="e">
        <f ca="1">IF(SUMIFS(DB[[CONTROLE2]:[CONTROLE2]],DB[[COR]:[COR]],$C14,DB[[TAMANHO]:[TAMANHO]],N$5,INDIRECT("DB[["&amp;$C$4&amp;"]:["&amp;$C$4&amp;"]]"),N$7) = 0, "", SUMIFS(DB[[CONTROLE2]:[CONTROLE2]],DB[[COR]:[COR]],$C14,DB[[TAMANHO]:[TAMANHO]],N$5,INDIRECT("DB[["&amp;$C$4&amp;"]:["&amp;$C$4&amp;"]]"),N$7))</f>
        <v>#REF!</v>
      </c>
      <c r="O14" s="3" t="e">
        <f ca="1">IF(SUMIFS(DB[[CONTROLE2]:[CONTROLE2]],DB[[COR]:[COR]],$C14,DB[[TAMANHO]:[TAMANHO]],O$5,INDIRECT("DB[["&amp;$C$4&amp;"]:["&amp;$C$4&amp;"]]"),O$7) = 0, "", SUMIFS(DB[[CONTROLE2]:[CONTROLE2]],DB[[COR]:[COR]],$C14,DB[[TAMANHO]:[TAMANHO]],O$5,INDIRECT("DB[["&amp;$C$4&amp;"]:["&amp;$C$4&amp;"]]"),O$7))</f>
        <v>#REF!</v>
      </c>
      <c r="P14" s="15" t="str">
        <f t="shared" ca="1" si="3"/>
        <v>0/0</v>
      </c>
    </row>
    <row r="15" spans="1:19" x14ac:dyDescent="0.25">
      <c r="B15" s="22" t="e">
        <f t="shared" ca="1" si="2"/>
        <v>#REF!</v>
      </c>
      <c r="C15" s="4" t="s">
        <v>21</v>
      </c>
      <c r="D15" s="3" t="e">
        <f ca="1">IF(SUMIFS(DB[[CONTROLE2]:[CONTROLE2]],DB[[COR]:[COR]],$C15,DB[[TAMANHO]:[TAMANHO]],D$5,INDIRECT("DB[["&amp;$C$4&amp;"]:["&amp;$C$4&amp;"]]"),D$7) = 0, "", SUMIFS(DB[[CONTROLE2]:[CONTROLE2]],DB[[COR]:[COR]],$C15,DB[[TAMANHO]:[TAMANHO]],D$5,INDIRECT("DB[["&amp;$C$4&amp;"]:["&amp;$C$4&amp;"]]"),D$7))</f>
        <v>#REF!</v>
      </c>
      <c r="E15" s="3" t="e">
        <f ca="1">IF(SUMIFS(DB[[CONTROLE2]:[CONTROLE2]],DB[[COR]:[COR]],$C15,DB[[TAMANHO]:[TAMANHO]],E$5,INDIRECT("DB[["&amp;$C$4&amp;"]:["&amp;$C$4&amp;"]]"),E$7) = 0, "", SUMIFS(DB[[CONTROLE2]:[CONTROLE2]],DB[[COR]:[COR]],$C15,DB[[TAMANHO]:[TAMANHO]],E$5,INDIRECT("DB[["&amp;$C$4&amp;"]:["&amp;$C$4&amp;"]]"),E$7))</f>
        <v>#REF!</v>
      </c>
      <c r="F15" s="3" t="e">
        <f ca="1">IF(SUMIFS(DB[[CONTROLE2]:[CONTROLE2]],DB[[COR]:[COR]],$C15,DB[[TAMANHO]:[TAMANHO]],F$5,INDIRECT("DB[["&amp;$C$4&amp;"]:["&amp;$C$4&amp;"]]"),F$7) = 0, "", SUMIFS(DB[[CONTROLE2]:[CONTROLE2]],DB[[COR]:[COR]],$C15,DB[[TAMANHO]:[TAMANHO]],F$5,INDIRECT("DB[["&amp;$C$4&amp;"]:["&amp;$C$4&amp;"]]"),F$7))</f>
        <v>#REF!</v>
      </c>
      <c r="G15" s="3" t="e">
        <f ca="1">IF(SUMIFS(DB[[CONTROLE2]:[CONTROLE2]],DB[[COR]:[COR]],$C15,DB[[TAMANHO]:[TAMANHO]],G$5,INDIRECT("DB[["&amp;$C$4&amp;"]:["&amp;$C$4&amp;"]]"),G$7) = 0, "", SUMIFS(DB[[CONTROLE2]:[CONTROLE2]],DB[[COR]:[COR]],$C15,DB[[TAMANHO]:[TAMANHO]],G$5,INDIRECT("DB[["&amp;$C$4&amp;"]:["&amp;$C$4&amp;"]]"),G$7))</f>
        <v>#REF!</v>
      </c>
      <c r="H15" s="3" t="e">
        <f ca="1">IF(SUMIFS(DB[[CONTROLE2]:[CONTROLE2]],DB[[COR]:[COR]],$C15,DB[[TAMANHO]:[TAMANHO]],H$5,INDIRECT("DB[["&amp;$C$4&amp;"]:["&amp;$C$4&amp;"]]"),H$7) = 0, "", SUMIFS(DB[[CONTROLE2]:[CONTROLE2]],DB[[COR]:[COR]],$C15,DB[[TAMANHO]:[TAMANHO]],H$5,INDIRECT("DB[["&amp;$C$4&amp;"]:["&amp;$C$4&amp;"]]"),H$7))</f>
        <v>#REF!</v>
      </c>
      <c r="I15" s="3" t="e">
        <f ca="1">IF(SUMIFS(DB[[CONTROLE2]:[CONTROLE2]],DB[[COR]:[COR]],$C15,DB[[TAMANHO]:[TAMANHO]],I$5,INDIRECT("DB[["&amp;$C$4&amp;"]:["&amp;$C$4&amp;"]]"),I$7) = 0, "", SUMIFS(DB[[CONTROLE2]:[CONTROLE2]],DB[[COR]:[COR]],$C15,DB[[TAMANHO]:[TAMANHO]],I$5,INDIRECT("DB[["&amp;$C$4&amp;"]:["&amp;$C$4&amp;"]]"),I$7))</f>
        <v>#REF!</v>
      </c>
      <c r="J15" s="3" t="e">
        <f ca="1">IF(SUMIFS(DB[[CONTROLE2]:[CONTROLE2]],DB[[COR]:[COR]],$C15,DB[[TAMANHO]:[TAMANHO]],J$5,INDIRECT("DB[["&amp;$C$4&amp;"]:["&amp;$C$4&amp;"]]"),J$7) = 0, "", SUMIFS(DB[[CONTROLE2]:[CONTROLE2]],DB[[COR]:[COR]],$C15,DB[[TAMANHO]:[TAMANHO]],J$5,INDIRECT("DB[["&amp;$C$4&amp;"]:["&amp;$C$4&amp;"]]"),J$7))</f>
        <v>#REF!</v>
      </c>
      <c r="K15" s="3" t="e">
        <f ca="1">IF(SUMIFS(DB[[CONTROLE2]:[CONTROLE2]],DB[[COR]:[COR]],$C15,DB[[TAMANHO]:[TAMANHO]],K$5,INDIRECT("DB[["&amp;$C$4&amp;"]:["&amp;$C$4&amp;"]]"),K$7) = 0, "", SUMIFS(DB[[CONTROLE2]:[CONTROLE2]],DB[[COR]:[COR]],$C15,DB[[TAMANHO]:[TAMANHO]],K$5,INDIRECT("DB[["&amp;$C$4&amp;"]:["&amp;$C$4&amp;"]]"),K$7))</f>
        <v>#REF!</v>
      </c>
      <c r="L15" s="3" t="e">
        <f ca="1">IF(SUMIFS(DB[[CONTROLE2]:[CONTROLE2]],DB[[COR]:[COR]],$C15,DB[[TAMANHO]:[TAMANHO]],L$5,INDIRECT("DB[["&amp;$C$4&amp;"]:["&amp;$C$4&amp;"]]"),L$7) = 0, "", SUMIFS(DB[[CONTROLE2]:[CONTROLE2]],DB[[COR]:[COR]],$C15,DB[[TAMANHO]:[TAMANHO]],L$5,INDIRECT("DB[["&amp;$C$4&amp;"]:["&amp;$C$4&amp;"]]"),L$7))</f>
        <v>#REF!</v>
      </c>
      <c r="M15" s="3" t="e">
        <f ca="1">IF(SUMIFS(DB[[CONTROLE2]:[CONTROLE2]],DB[[COR]:[COR]],$C15,DB[[TAMANHO]:[TAMANHO]],M$5,INDIRECT("DB[["&amp;$C$4&amp;"]:["&amp;$C$4&amp;"]]"),M$7) = 0, "", SUMIFS(DB[[CONTROLE2]:[CONTROLE2]],DB[[COR]:[COR]],$C15,DB[[TAMANHO]:[TAMANHO]],M$5,INDIRECT("DB[["&amp;$C$4&amp;"]:["&amp;$C$4&amp;"]]"),M$7))</f>
        <v>#REF!</v>
      </c>
      <c r="N15" s="3" t="e">
        <f ca="1">IF(SUMIFS(DB[[CONTROLE2]:[CONTROLE2]],DB[[COR]:[COR]],$C15,DB[[TAMANHO]:[TAMANHO]],N$5,INDIRECT("DB[["&amp;$C$4&amp;"]:["&amp;$C$4&amp;"]]"),N$7) = 0, "", SUMIFS(DB[[CONTROLE2]:[CONTROLE2]],DB[[COR]:[COR]],$C15,DB[[TAMANHO]:[TAMANHO]],N$5,INDIRECT("DB[["&amp;$C$4&amp;"]:["&amp;$C$4&amp;"]]"),N$7))</f>
        <v>#REF!</v>
      </c>
      <c r="O15" s="3" t="e">
        <f ca="1">IF(SUMIFS(DB[[CONTROLE2]:[CONTROLE2]],DB[[COR]:[COR]],$C15,DB[[TAMANHO]:[TAMANHO]],O$5,INDIRECT("DB[["&amp;$C$4&amp;"]:["&amp;$C$4&amp;"]]"),O$7) = 0, "", SUMIFS(DB[[CONTROLE2]:[CONTROLE2]],DB[[COR]:[COR]],$C15,DB[[TAMANHO]:[TAMANHO]],O$5,INDIRECT("DB[["&amp;$C$4&amp;"]:["&amp;$C$4&amp;"]]"),O$7))</f>
        <v>#REF!</v>
      </c>
      <c r="P15" s="15" t="str">
        <f t="shared" ca="1" si="3"/>
        <v>0/0</v>
      </c>
    </row>
    <row r="16" spans="1:19" x14ac:dyDescent="0.25">
      <c r="B16" s="22" t="e">
        <f t="shared" ca="1" si="2"/>
        <v>#REF!</v>
      </c>
      <c r="C16" s="4" t="s">
        <v>23</v>
      </c>
      <c r="D16" s="3" t="e">
        <f ca="1">IF(SUMIFS(DB[[CONTROLE2]:[CONTROLE2]],DB[[COR]:[COR]],$C16,DB[[TAMANHO]:[TAMANHO]],D$5,INDIRECT("DB[["&amp;$C$4&amp;"]:["&amp;$C$4&amp;"]]"),D$7) = 0, "", SUMIFS(DB[[CONTROLE2]:[CONTROLE2]],DB[[COR]:[COR]],$C16,DB[[TAMANHO]:[TAMANHO]],D$5,INDIRECT("DB[["&amp;$C$4&amp;"]:["&amp;$C$4&amp;"]]"),D$7))</f>
        <v>#REF!</v>
      </c>
      <c r="E16" s="3" t="e">
        <f ca="1">IF(SUMIFS(DB[[CONTROLE2]:[CONTROLE2]],DB[[COR]:[COR]],$C16,DB[[TAMANHO]:[TAMANHO]],E$5,INDIRECT("DB[["&amp;$C$4&amp;"]:["&amp;$C$4&amp;"]]"),E$7) = 0, "", SUMIFS(DB[[CONTROLE2]:[CONTROLE2]],DB[[COR]:[COR]],$C16,DB[[TAMANHO]:[TAMANHO]],E$5,INDIRECT("DB[["&amp;$C$4&amp;"]:["&amp;$C$4&amp;"]]"),E$7))</f>
        <v>#REF!</v>
      </c>
      <c r="F16" s="3" t="e">
        <f ca="1">IF(SUMIFS(DB[[CONTROLE2]:[CONTROLE2]],DB[[COR]:[COR]],$C16,DB[[TAMANHO]:[TAMANHO]],F$5,INDIRECT("DB[["&amp;$C$4&amp;"]:["&amp;$C$4&amp;"]]"),F$7) = 0, "", SUMIFS(DB[[CONTROLE2]:[CONTROLE2]],DB[[COR]:[COR]],$C16,DB[[TAMANHO]:[TAMANHO]],F$5,INDIRECT("DB[["&amp;$C$4&amp;"]:["&amp;$C$4&amp;"]]"),F$7))</f>
        <v>#REF!</v>
      </c>
      <c r="G16" s="3" t="e">
        <f ca="1">IF(SUMIFS(DB[[CONTROLE2]:[CONTROLE2]],DB[[COR]:[COR]],$C16,DB[[TAMANHO]:[TAMANHO]],G$5,INDIRECT("DB[["&amp;$C$4&amp;"]:["&amp;$C$4&amp;"]]"),G$7) = 0, "", SUMIFS(DB[[CONTROLE2]:[CONTROLE2]],DB[[COR]:[COR]],$C16,DB[[TAMANHO]:[TAMANHO]],G$5,INDIRECT("DB[["&amp;$C$4&amp;"]:["&amp;$C$4&amp;"]]"),G$7))</f>
        <v>#REF!</v>
      </c>
      <c r="H16" s="3" t="e">
        <f ca="1">IF(SUMIFS(DB[[CONTROLE2]:[CONTROLE2]],DB[[COR]:[COR]],$C16,DB[[TAMANHO]:[TAMANHO]],H$5,INDIRECT("DB[["&amp;$C$4&amp;"]:["&amp;$C$4&amp;"]]"),H$7) = 0, "", SUMIFS(DB[[CONTROLE2]:[CONTROLE2]],DB[[COR]:[COR]],$C16,DB[[TAMANHO]:[TAMANHO]],H$5,INDIRECT("DB[["&amp;$C$4&amp;"]:["&amp;$C$4&amp;"]]"),H$7))</f>
        <v>#REF!</v>
      </c>
      <c r="I16" s="3" t="e">
        <f ca="1">IF(SUMIFS(DB[[CONTROLE2]:[CONTROLE2]],DB[[COR]:[COR]],$C16,DB[[TAMANHO]:[TAMANHO]],I$5,INDIRECT("DB[["&amp;$C$4&amp;"]:["&amp;$C$4&amp;"]]"),I$7) = 0, "", SUMIFS(DB[[CONTROLE2]:[CONTROLE2]],DB[[COR]:[COR]],$C16,DB[[TAMANHO]:[TAMANHO]],I$5,INDIRECT("DB[["&amp;$C$4&amp;"]:["&amp;$C$4&amp;"]]"),I$7))</f>
        <v>#REF!</v>
      </c>
      <c r="J16" s="3" t="e">
        <f ca="1">IF(SUMIFS(DB[[CONTROLE2]:[CONTROLE2]],DB[[COR]:[COR]],$C16,DB[[TAMANHO]:[TAMANHO]],J$5,INDIRECT("DB[["&amp;$C$4&amp;"]:["&amp;$C$4&amp;"]]"),J$7) = 0, "", SUMIFS(DB[[CONTROLE2]:[CONTROLE2]],DB[[COR]:[COR]],$C16,DB[[TAMANHO]:[TAMANHO]],J$5,INDIRECT("DB[["&amp;$C$4&amp;"]:["&amp;$C$4&amp;"]]"),J$7))</f>
        <v>#REF!</v>
      </c>
      <c r="K16" s="3" t="e">
        <f ca="1">IF(SUMIFS(DB[[CONTROLE2]:[CONTROLE2]],DB[[COR]:[COR]],$C16,DB[[TAMANHO]:[TAMANHO]],K$5,INDIRECT("DB[["&amp;$C$4&amp;"]:["&amp;$C$4&amp;"]]"),K$7) = 0, "", SUMIFS(DB[[CONTROLE2]:[CONTROLE2]],DB[[COR]:[COR]],$C16,DB[[TAMANHO]:[TAMANHO]],K$5,INDIRECT("DB[["&amp;$C$4&amp;"]:["&amp;$C$4&amp;"]]"),K$7))</f>
        <v>#REF!</v>
      </c>
      <c r="L16" s="3" t="e">
        <f ca="1">IF(SUMIFS(DB[[CONTROLE2]:[CONTROLE2]],DB[[COR]:[COR]],$C16,DB[[TAMANHO]:[TAMANHO]],L$5,INDIRECT("DB[["&amp;$C$4&amp;"]:["&amp;$C$4&amp;"]]"),L$7) = 0, "", SUMIFS(DB[[CONTROLE2]:[CONTROLE2]],DB[[COR]:[COR]],$C16,DB[[TAMANHO]:[TAMANHO]],L$5,INDIRECT("DB[["&amp;$C$4&amp;"]:["&amp;$C$4&amp;"]]"),L$7))</f>
        <v>#REF!</v>
      </c>
      <c r="M16" s="3" t="e">
        <f ca="1">IF(SUMIFS(DB[[CONTROLE2]:[CONTROLE2]],DB[[COR]:[COR]],$C16,DB[[TAMANHO]:[TAMANHO]],M$5,INDIRECT("DB[["&amp;$C$4&amp;"]:["&amp;$C$4&amp;"]]"),M$7) = 0, "", SUMIFS(DB[[CONTROLE2]:[CONTROLE2]],DB[[COR]:[COR]],$C16,DB[[TAMANHO]:[TAMANHO]],M$5,INDIRECT("DB[["&amp;$C$4&amp;"]:["&amp;$C$4&amp;"]]"),M$7))</f>
        <v>#REF!</v>
      </c>
      <c r="N16" s="3" t="e">
        <f ca="1">IF(SUMIFS(DB[[CONTROLE2]:[CONTROLE2]],DB[[COR]:[COR]],$C16,DB[[TAMANHO]:[TAMANHO]],N$5,INDIRECT("DB[["&amp;$C$4&amp;"]:["&amp;$C$4&amp;"]]"),N$7) = 0, "", SUMIFS(DB[[CONTROLE2]:[CONTROLE2]],DB[[COR]:[COR]],$C16,DB[[TAMANHO]:[TAMANHO]],N$5,INDIRECT("DB[["&amp;$C$4&amp;"]:["&amp;$C$4&amp;"]]"),N$7))</f>
        <v>#REF!</v>
      </c>
      <c r="O16" s="3" t="e">
        <f ca="1">IF(SUMIFS(DB[[CONTROLE2]:[CONTROLE2]],DB[[COR]:[COR]],$C16,DB[[TAMANHO]:[TAMANHO]],O$5,INDIRECT("DB[["&amp;$C$4&amp;"]:["&amp;$C$4&amp;"]]"),O$7) = 0, "", SUMIFS(DB[[CONTROLE2]:[CONTROLE2]],DB[[COR]:[COR]],$C16,DB[[TAMANHO]:[TAMANHO]],O$5,INDIRECT("DB[["&amp;$C$4&amp;"]:["&amp;$C$4&amp;"]]"),O$7))</f>
        <v>#REF!</v>
      </c>
      <c r="P16" s="15" t="str">
        <f t="shared" ca="1" si="3"/>
        <v>0/0</v>
      </c>
    </row>
    <row r="17" spans="1:18" x14ac:dyDescent="0.25">
      <c r="B17" s="22" t="e">
        <f t="shared" ca="1" si="2"/>
        <v>#REF!</v>
      </c>
      <c r="C17" s="4" t="s">
        <v>16</v>
      </c>
      <c r="D17" s="3" t="e">
        <f ca="1">IF(SUMIFS(DB[[CONTROLE2]:[CONTROLE2]],DB[[COR]:[COR]],$C17,DB[[TAMANHO]:[TAMANHO]],D$5,INDIRECT("DB[["&amp;$C$4&amp;"]:["&amp;$C$4&amp;"]]"),D$7) = 0, "", SUMIFS(DB[[CONTROLE2]:[CONTROLE2]],DB[[COR]:[COR]],$C17,DB[[TAMANHO]:[TAMANHO]],D$5,INDIRECT("DB[["&amp;$C$4&amp;"]:["&amp;$C$4&amp;"]]"),D$7))</f>
        <v>#REF!</v>
      </c>
      <c r="E17" s="3" t="e">
        <f ca="1">IF(SUMIFS(DB[[CONTROLE2]:[CONTROLE2]],DB[[COR]:[COR]],$C17,DB[[TAMANHO]:[TAMANHO]],E$5,INDIRECT("DB[["&amp;$C$4&amp;"]:["&amp;$C$4&amp;"]]"),E$7) = 0, "", SUMIFS(DB[[CONTROLE2]:[CONTROLE2]],DB[[COR]:[COR]],$C17,DB[[TAMANHO]:[TAMANHO]],E$5,INDIRECT("DB[["&amp;$C$4&amp;"]:["&amp;$C$4&amp;"]]"),E$7))</f>
        <v>#REF!</v>
      </c>
      <c r="F17" s="3" t="e">
        <f ca="1">IF(SUMIFS(DB[[CONTROLE2]:[CONTROLE2]],DB[[COR]:[COR]],$C17,DB[[TAMANHO]:[TAMANHO]],F$5,INDIRECT("DB[["&amp;$C$4&amp;"]:["&amp;$C$4&amp;"]]"),F$7) = 0, "", SUMIFS(DB[[CONTROLE2]:[CONTROLE2]],DB[[COR]:[COR]],$C17,DB[[TAMANHO]:[TAMANHO]],F$5,INDIRECT("DB[["&amp;$C$4&amp;"]:["&amp;$C$4&amp;"]]"),F$7))</f>
        <v>#REF!</v>
      </c>
      <c r="G17" s="3" t="e">
        <f ca="1">IF(SUMIFS(DB[[CONTROLE2]:[CONTROLE2]],DB[[COR]:[COR]],$C17,DB[[TAMANHO]:[TAMANHO]],G$5,INDIRECT("DB[["&amp;$C$4&amp;"]:["&amp;$C$4&amp;"]]"),G$7) = 0, "", SUMIFS(DB[[CONTROLE2]:[CONTROLE2]],DB[[COR]:[COR]],$C17,DB[[TAMANHO]:[TAMANHO]],G$5,INDIRECT("DB[["&amp;$C$4&amp;"]:["&amp;$C$4&amp;"]]"),G$7))</f>
        <v>#REF!</v>
      </c>
      <c r="H17" s="3" t="e">
        <f ca="1">IF(SUMIFS(DB[[CONTROLE2]:[CONTROLE2]],DB[[COR]:[COR]],$C17,DB[[TAMANHO]:[TAMANHO]],H$5,INDIRECT("DB[["&amp;$C$4&amp;"]:["&amp;$C$4&amp;"]]"),H$7) = 0, "", SUMIFS(DB[[CONTROLE2]:[CONTROLE2]],DB[[COR]:[COR]],$C17,DB[[TAMANHO]:[TAMANHO]],H$5,INDIRECT("DB[["&amp;$C$4&amp;"]:["&amp;$C$4&amp;"]]"),H$7))</f>
        <v>#REF!</v>
      </c>
      <c r="I17" s="3" t="e">
        <f ca="1">IF(SUMIFS(DB[[CONTROLE2]:[CONTROLE2]],DB[[COR]:[COR]],$C17,DB[[TAMANHO]:[TAMANHO]],I$5,INDIRECT("DB[["&amp;$C$4&amp;"]:["&amp;$C$4&amp;"]]"),I$7) = 0, "", SUMIFS(DB[[CONTROLE2]:[CONTROLE2]],DB[[COR]:[COR]],$C17,DB[[TAMANHO]:[TAMANHO]],I$5,INDIRECT("DB[["&amp;$C$4&amp;"]:["&amp;$C$4&amp;"]]"),I$7))</f>
        <v>#REF!</v>
      </c>
      <c r="J17" s="3" t="e">
        <f ca="1">IF(SUMIFS(DB[[CONTROLE2]:[CONTROLE2]],DB[[COR]:[COR]],$C17,DB[[TAMANHO]:[TAMANHO]],J$5,INDIRECT("DB[["&amp;$C$4&amp;"]:["&amp;$C$4&amp;"]]"),J$7) = 0, "", SUMIFS(DB[[CONTROLE2]:[CONTROLE2]],DB[[COR]:[COR]],$C17,DB[[TAMANHO]:[TAMANHO]],J$5,INDIRECT("DB[["&amp;$C$4&amp;"]:["&amp;$C$4&amp;"]]"),J$7))</f>
        <v>#REF!</v>
      </c>
      <c r="K17" s="3" t="e">
        <f ca="1">IF(SUMIFS(DB[[CONTROLE2]:[CONTROLE2]],DB[[COR]:[COR]],$C17,DB[[TAMANHO]:[TAMANHO]],K$5,INDIRECT("DB[["&amp;$C$4&amp;"]:["&amp;$C$4&amp;"]]"),K$7) = 0, "", SUMIFS(DB[[CONTROLE2]:[CONTROLE2]],DB[[COR]:[COR]],$C17,DB[[TAMANHO]:[TAMANHO]],K$5,INDIRECT("DB[["&amp;$C$4&amp;"]:["&amp;$C$4&amp;"]]"),K$7))</f>
        <v>#REF!</v>
      </c>
      <c r="L17" s="3" t="e">
        <f ca="1">IF(SUMIFS(DB[[CONTROLE2]:[CONTROLE2]],DB[[COR]:[COR]],$C17,DB[[TAMANHO]:[TAMANHO]],L$5,INDIRECT("DB[["&amp;$C$4&amp;"]:["&amp;$C$4&amp;"]]"),L$7) = 0, "", SUMIFS(DB[[CONTROLE2]:[CONTROLE2]],DB[[COR]:[COR]],$C17,DB[[TAMANHO]:[TAMANHO]],L$5,INDIRECT("DB[["&amp;$C$4&amp;"]:["&amp;$C$4&amp;"]]"),L$7))</f>
        <v>#REF!</v>
      </c>
      <c r="M17" s="3" t="e">
        <f ca="1">IF(SUMIFS(DB[[CONTROLE2]:[CONTROLE2]],DB[[COR]:[COR]],$C17,DB[[TAMANHO]:[TAMANHO]],M$5,INDIRECT("DB[["&amp;$C$4&amp;"]:["&amp;$C$4&amp;"]]"),M$7) = 0, "", SUMIFS(DB[[CONTROLE2]:[CONTROLE2]],DB[[COR]:[COR]],$C17,DB[[TAMANHO]:[TAMANHO]],M$5,INDIRECT("DB[["&amp;$C$4&amp;"]:["&amp;$C$4&amp;"]]"),M$7))</f>
        <v>#REF!</v>
      </c>
      <c r="N17" s="3" t="e">
        <f ca="1">IF(SUMIFS(DB[[CONTROLE2]:[CONTROLE2]],DB[[COR]:[COR]],$C17,DB[[TAMANHO]:[TAMANHO]],N$5,INDIRECT("DB[["&amp;$C$4&amp;"]:["&amp;$C$4&amp;"]]"),N$7) = 0, "", SUMIFS(DB[[CONTROLE2]:[CONTROLE2]],DB[[COR]:[COR]],$C17,DB[[TAMANHO]:[TAMANHO]],N$5,INDIRECT("DB[["&amp;$C$4&amp;"]:["&amp;$C$4&amp;"]]"),N$7))</f>
        <v>#REF!</v>
      </c>
      <c r="O17" s="3" t="e">
        <f ca="1">IF(SUMIFS(DB[[CONTROLE2]:[CONTROLE2]],DB[[COR]:[COR]],$C17,DB[[TAMANHO]:[TAMANHO]],O$5,INDIRECT("DB[["&amp;$C$4&amp;"]:["&amp;$C$4&amp;"]]"),O$7) = 0, "", SUMIFS(DB[[CONTROLE2]:[CONTROLE2]],DB[[COR]:[COR]],$C17,DB[[TAMANHO]:[TAMANHO]],O$5,INDIRECT("DB[["&amp;$C$4&amp;"]:["&amp;$C$4&amp;"]]"),O$7))</f>
        <v>#REF!</v>
      </c>
      <c r="P17" s="15" t="str">
        <f t="shared" ca="1" si="3"/>
        <v>0/0</v>
      </c>
    </row>
    <row r="18" spans="1:18" x14ac:dyDescent="0.25">
      <c r="B18" s="22" t="e">
        <f t="shared" ca="1" si="2"/>
        <v>#REF!</v>
      </c>
      <c r="C18" s="4" t="s">
        <v>22</v>
      </c>
      <c r="D18" s="3" t="e">
        <f ca="1">IF(SUMIFS(DB[[CONTROLE2]:[CONTROLE2]],DB[[COR]:[COR]],$C18,DB[[TAMANHO]:[TAMANHO]],D$5,INDIRECT("DB[["&amp;$C$4&amp;"]:["&amp;$C$4&amp;"]]"),D$7) = 0, "", SUMIFS(DB[[CONTROLE2]:[CONTROLE2]],DB[[COR]:[COR]],$C18,DB[[TAMANHO]:[TAMANHO]],D$5,INDIRECT("DB[["&amp;$C$4&amp;"]:["&amp;$C$4&amp;"]]"),D$7))</f>
        <v>#REF!</v>
      </c>
      <c r="E18" s="3" t="e">
        <f ca="1">IF(SUMIFS(DB[[CONTROLE2]:[CONTROLE2]],DB[[COR]:[COR]],$C18,DB[[TAMANHO]:[TAMANHO]],E$5,INDIRECT("DB[["&amp;$C$4&amp;"]:["&amp;$C$4&amp;"]]"),E$7) = 0, "", SUMIFS(DB[[CONTROLE2]:[CONTROLE2]],DB[[COR]:[COR]],$C18,DB[[TAMANHO]:[TAMANHO]],E$5,INDIRECT("DB[["&amp;$C$4&amp;"]:["&amp;$C$4&amp;"]]"),E$7))</f>
        <v>#REF!</v>
      </c>
      <c r="F18" s="3" t="e">
        <f ca="1">IF(SUMIFS(DB[[CONTROLE2]:[CONTROLE2]],DB[[COR]:[COR]],$C18,DB[[TAMANHO]:[TAMANHO]],F$5,INDIRECT("DB[["&amp;$C$4&amp;"]:["&amp;$C$4&amp;"]]"),F$7) = 0, "", SUMIFS(DB[[CONTROLE2]:[CONTROLE2]],DB[[COR]:[COR]],$C18,DB[[TAMANHO]:[TAMANHO]],F$5,INDIRECT("DB[["&amp;$C$4&amp;"]:["&amp;$C$4&amp;"]]"),F$7))</f>
        <v>#REF!</v>
      </c>
      <c r="G18" s="3" t="e">
        <f ca="1">IF(SUMIFS(DB[[CONTROLE2]:[CONTROLE2]],DB[[COR]:[COR]],$C18,DB[[TAMANHO]:[TAMANHO]],G$5,INDIRECT("DB[["&amp;$C$4&amp;"]:["&amp;$C$4&amp;"]]"),G$7) = 0, "", SUMIFS(DB[[CONTROLE2]:[CONTROLE2]],DB[[COR]:[COR]],$C18,DB[[TAMANHO]:[TAMANHO]],G$5,INDIRECT("DB[["&amp;$C$4&amp;"]:["&amp;$C$4&amp;"]]"),G$7))</f>
        <v>#REF!</v>
      </c>
      <c r="H18" s="3" t="e">
        <f ca="1">IF(SUMIFS(DB[[CONTROLE2]:[CONTROLE2]],DB[[COR]:[COR]],$C18,DB[[TAMANHO]:[TAMANHO]],H$5,INDIRECT("DB[["&amp;$C$4&amp;"]:["&amp;$C$4&amp;"]]"),H$7) = 0, "", SUMIFS(DB[[CONTROLE2]:[CONTROLE2]],DB[[COR]:[COR]],$C18,DB[[TAMANHO]:[TAMANHO]],H$5,INDIRECT("DB[["&amp;$C$4&amp;"]:["&amp;$C$4&amp;"]]"),H$7))</f>
        <v>#REF!</v>
      </c>
      <c r="I18" s="3" t="e">
        <f ca="1">IF(SUMIFS(DB[[CONTROLE2]:[CONTROLE2]],DB[[COR]:[COR]],$C18,DB[[TAMANHO]:[TAMANHO]],I$5,INDIRECT("DB[["&amp;$C$4&amp;"]:["&amp;$C$4&amp;"]]"),I$7) = 0, "", SUMIFS(DB[[CONTROLE2]:[CONTROLE2]],DB[[COR]:[COR]],$C18,DB[[TAMANHO]:[TAMANHO]],I$5,INDIRECT("DB[["&amp;$C$4&amp;"]:["&amp;$C$4&amp;"]]"),I$7))</f>
        <v>#REF!</v>
      </c>
      <c r="J18" s="3" t="e">
        <f ca="1">IF(SUMIFS(DB[[CONTROLE2]:[CONTROLE2]],DB[[COR]:[COR]],$C18,DB[[TAMANHO]:[TAMANHO]],J$5,INDIRECT("DB[["&amp;$C$4&amp;"]:["&amp;$C$4&amp;"]]"),J$7) = 0, "", SUMIFS(DB[[CONTROLE2]:[CONTROLE2]],DB[[COR]:[COR]],$C18,DB[[TAMANHO]:[TAMANHO]],J$5,INDIRECT("DB[["&amp;$C$4&amp;"]:["&amp;$C$4&amp;"]]"),J$7))</f>
        <v>#REF!</v>
      </c>
      <c r="K18" s="3" t="e">
        <f ca="1">IF(SUMIFS(DB[[CONTROLE2]:[CONTROLE2]],DB[[COR]:[COR]],$C18,DB[[TAMANHO]:[TAMANHO]],K$5,INDIRECT("DB[["&amp;$C$4&amp;"]:["&amp;$C$4&amp;"]]"),K$7) = 0, "", SUMIFS(DB[[CONTROLE2]:[CONTROLE2]],DB[[COR]:[COR]],$C18,DB[[TAMANHO]:[TAMANHO]],K$5,INDIRECT("DB[["&amp;$C$4&amp;"]:["&amp;$C$4&amp;"]]"),K$7))</f>
        <v>#REF!</v>
      </c>
      <c r="L18" s="3" t="e">
        <f ca="1">IF(SUMIFS(DB[[CONTROLE2]:[CONTROLE2]],DB[[COR]:[COR]],$C18,DB[[TAMANHO]:[TAMANHO]],L$5,INDIRECT("DB[["&amp;$C$4&amp;"]:["&amp;$C$4&amp;"]]"),L$7) = 0, "", SUMIFS(DB[[CONTROLE2]:[CONTROLE2]],DB[[COR]:[COR]],$C18,DB[[TAMANHO]:[TAMANHO]],L$5,INDIRECT("DB[["&amp;$C$4&amp;"]:["&amp;$C$4&amp;"]]"),L$7))</f>
        <v>#REF!</v>
      </c>
      <c r="M18" s="3" t="e">
        <f ca="1">IF(SUMIFS(DB[[CONTROLE2]:[CONTROLE2]],DB[[COR]:[COR]],$C18,DB[[TAMANHO]:[TAMANHO]],M$5,INDIRECT("DB[["&amp;$C$4&amp;"]:["&amp;$C$4&amp;"]]"),M$7) = 0, "", SUMIFS(DB[[CONTROLE2]:[CONTROLE2]],DB[[COR]:[COR]],$C18,DB[[TAMANHO]:[TAMANHO]],M$5,INDIRECT("DB[["&amp;$C$4&amp;"]:["&amp;$C$4&amp;"]]"),M$7))</f>
        <v>#REF!</v>
      </c>
      <c r="N18" s="3" t="e">
        <f ca="1">IF(SUMIFS(DB[[CONTROLE2]:[CONTROLE2]],DB[[COR]:[COR]],$C18,DB[[TAMANHO]:[TAMANHO]],N$5,INDIRECT("DB[["&amp;$C$4&amp;"]:["&amp;$C$4&amp;"]]"),N$7) = 0, "", SUMIFS(DB[[CONTROLE2]:[CONTROLE2]],DB[[COR]:[COR]],$C18,DB[[TAMANHO]:[TAMANHO]],N$5,INDIRECT("DB[["&amp;$C$4&amp;"]:["&amp;$C$4&amp;"]]"),N$7))</f>
        <v>#REF!</v>
      </c>
      <c r="O18" s="3" t="e">
        <f ca="1">IF(SUMIFS(DB[[CONTROLE2]:[CONTROLE2]],DB[[COR]:[COR]],$C18,DB[[TAMANHO]:[TAMANHO]],O$5,INDIRECT("DB[["&amp;$C$4&amp;"]:["&amp;$C$4&amp;"]]"),O$7) = 0, "", SUMIFS(DB[[CONTROLE2]:[CONTROLE2]],DB[[COR]:[COR]],$C18,DB[[TAMANHO]:[TAMANHO]],O$5,INDIRECT("DB[["&amp;$C$4&amp;"]:["&amp;$C$4&amp;"]]"),O$7))</f>
        <v>#REF!</v>
      </c>
      <c r="P18" s="15" t="str">
        <f t="shared" ca="1" si="3"/>
        <v>0/0</v>
      </c>
    </row>
    <row r="19" spans="1:18" x14ac:dyDescent="0.25">
      <c r="B19" s="22" t="e">
        <f t="shared" ca="1" si="2"/>
        <v>#REF!</v>
      </c>
      <c r="C19" s="4" t="s">
        <v>18</v>
      </c>
      <c r="D19" s="3" t="e">
        <f ca="1">IF(SUMIFS(DB[[CONTROLE2]:[CONTROLE2]],DB[[COR]:[COR]],$C19,DB[[TAMANHO]:[TAMANHO]],D$5,INDIRECT("DB[["&amp;$C$4&amp;"]:["&amp;$C$4&amp;"]]"),D$7) = 0, "", SUMIFS(DB[[CONTROLE2]:[CONTROLE2]],DB[[COR]:[COR]],$C19,DB[[TAMANHO]:[TAMANHO]],D$5,INDIRECT("DB[["&amp;$C$4&amp;"]:["&amp;$C$4&amp;"]]"),D$7))</f>
        <v>#REF!</v>
      </c>
      <c r="E19" s="3" t="e">
        <f ca="1">IF(SUMIFS(DB[[CONTROLE2]:[CONTROLE2]],DB[[COR]:[COR]],$C19,DB[[TAMANHO]:[TAMANHO]],E$5,INDIRECT("DB[["&amp;$C$4&amp;"]:["&amp;$C$4&amp;"]]"),E$7) = 0, "", SUMIFS(DB[[CONTROLE2]:[CONTROLE2]],DB[[COR]:[COR]],$C19,DB[[TAMANHO]:[TAMANHO]],E$5,INDIRECT("DB[["&amp;$C$4&amp;"]:["&amp;$C$4&amp;"]]"),E$7))</f>
        <v>#REF!</v>
      </c>
      <c r="F19" s="3" t="e">
        <f ca="1">IF(SUMIFS(DB[[CONTROLE2]:[CONTROLE2]],DB[[COR]:[COR]],$C19,DB[[TAMANHO]:[TAMANHO]],F$5,INDIRECT("DB[["&amp;$C$4&amp;"]:["&amp;$C$4&amp;"]]"),F$7) = 0, "", SUMIFS(DB[[CONTROLE2]:[CONTROLE2]],DB[[COR]:[COR]],$C19,DB[[TAMANHO]:[TAMANHO]],F$5,INDIRECT("DB[["&amp;$C$4&amp;"]:["&amp;$C$4&amp;"]]"),F$7))</f>
        <v>#REF!</v>
      </c>
      <c r="G19" s="3" t="e">
        <f ca="1">IF(SUMIFS(DB[[CONTROLE2]:[CONTROLE2]],DB[[COR]:[COR]],$C19,DB[[TAMANHO]:[TAMANHO]],G$5,INDIRECT("DB[["&amp;$C$4&amp;"]:["&amp;$C$4&amp;"]]"),G$7) = 0, "", SUMIFS(DB[[CONTROLE2]:[CONTROLE2]],DB[[COR]:[COR]],$C19,DB[[TAMANHO]:[TAMANHO]],G$5,INDIRECT("DB[["&amp;$C$4&amp;"]:["&amp;$C$4&amp;"]]"),G$7))</f>
        <v>#REF!</v>
      </c>
      <c r="H19" s="3" t="e">
        <f ca="1">IF(SUMIFS(DB[[CONTROLE2]:[CONTROLE2]],DB[[COR]:[COR]],$C19,DB[[TAMANHO]:[TAMANHO]],H$5,INDIRECT("DB[["&amp;$C$4&amp;"]:["&amp;$C$4&amp;"]]"),H$7) = 0, "", SUMIFS(DB[[CONTROLE2]:[CONTROLE2]],DB[[COR]:[COR]],$C19,DB[[TAMANHO]:[TAMANHO]],H$5,INDIRECT("DB[["&amp;$C$4&amp;"]:["&amp;$C$4&amp;"]]"),H$7))</f>
        <v>#REF!</v>
      </c>
      <c r="I19" s="3" t="e">
        <f ca="1">IF(SUMIFS(DB[[CONTROLE2]:[CONTROLE2]],DB[[COR]:[COR]],$C19,DB[[TAMANHO]:[TAMANHO]],I$5,INDIRECT("DB[["&amp;$C$4&amp;"]:["&amp;$C$4&amp;"]]"),I$7) = 0, "", SUMIFS(DB[[CONTROLE2]:[CONTROLE2]],DB[[COR]:[COR]],$C19,DB[[TAMANHO]:[TAMANHO]],I$5,INDIRECT("DB[["&amp;$C$4&amp;"]:["&amp;$C$4&amp;"]]"),I$7))</f>
        <v>#REF!</v>
      </c>
      <c r="J19" s="3" t="e">
        <f ca="1">IF(SUMIFS(DB[[CONTROLE2]:[CONTROLE2]],DB[[COR]:[COR]],$C19,DB[[TAMANHO]:[TAMANHO]],J$5,INDIRECT("DB[["&amp;$C$4&amp;"]:["&amp;$C$4&amp;"]]"),J$7) = 0, "", SUMIFS(DB[[CONTROLE2]:[CONTROLE2]],DB[[COR]:[COR]],$C19,DB[[TAMANHO]:[TAMANHO]],J$5,INDIRECT("DB[["&amp;$C$4&amp;"]:["&amp;$C$4&amp;"]]"),J$7))</f>
        <v>#REF!</v>
      </c>
      <c r="K19" s="3" t="e">
        <f ca="1">IF(SUMIFS(DB[[CONTROLE2]:[CONTROLE2]],DB[[COR]:[COR]],$C19,DB[[TAMANHO]:[TAMANHO]],K$5,INDIRECT("DB[["&amp;$C$4&amp;"]:["&amp;$C$4&amp;"]]"),K$7) = 0, "", SUMIFS(DB[[CONTROLE2]:[CONTROLE2]],DB[[COR]:[COR]],$C19,DB[[TAMANHO]:[TAMANHO]],K$5,INDIRECT("DB[["&amp;$C$4&amp;"]:["&amp;$C$4&amp;"]]"),K$7))</f>
        <v>#REF!</v>
      </c>
      <c r="L19" s="3" t="e">
        <f ca="1">IF(SUMIFS(DB[[CONTROLE2]:[CONTROLE2]],DB[[COR]:[COR]],$C19,DB[[TAMANHO]:[TAMANHO]],L$5,INDIRECT("DB[["&amp;$C$4&amp;"]:["&amp;$C$4&amp;"]]"),L$7) = 0, "", SUMIFS(DB[[CONTROLE2]:[CONTROLE2]],DB[[COR]:[COR]],$C19,DB[[TAMANHO]:[TAMANHO]],L$5,INDIRECT("DB[["&amp;$C$4&amp;"]:["&amp;$C$4&amp;"]]"),L$7))</f>
        <v>#REF!</v>
      </c>
      <c r="M19" s="3" t="e">
        <f ca="1">IF(SUMIFS(DB[[CONTROLE2]:[CONTROLE2]],DB[[COR]:[COR]],$C19,DB[[TAMANHO]:[TAMANHO]],M$5,INDIRECT("DB[["&amp;$C$4&amp;"]:["&amp;$C$4&amp;"]]"),M$7) = 0, "", SUMIFS(DB[[CONTROLE2]:[CONTROLE2]],DB[[COR]:[COR]],$C19,DB[[TAMANHO]:[TAMANHO]],M$5,INDIRECT("DB[["&amp;$C$4&amp;"]:["&amp;$C$4&amp;"]]"),M$7))</f>
        <v>#REF!</v>
      </c>
      <c r="N19" s="3" t="e">
        <f ca="1">IF(SUMIFS(DB[[CONTROLE2]:[CONTROLE2]],DB[[COR]:[COR]],$C19,DB[[TAMANHO]:[TAMANHO]],N$5,INDIRECT("DB[["&amp;$C$4&amp;"]:["&amp;$C$4&amp;"]]"),N$7) = 0, "", SUMIFS(DB[[CONTROLE2]:[CONTROLE2]],DB[[COR]:[COR]],$C19,DB[[TAMANHO]:[TAMANHO]],N$5,INDIRECT("DB[["&amp;$C$4&amp;"]:["&amp;$C$4&amp;"]]"),N$7))</f>
        <v>#REF!</v>
      </c>
      <c r="O19" s="3" t="e">
        <f ca="1">IF(SUMIFS(DB[[CONTROLE2]:[CONTROLE2]],DB[[COR]:[COR]],$C19,DB[[TAMANHO]:[TAMANHO]],O$5,INDIRECT("DB[["&amp;$C$4&amp;"]:["&amp;$C$4&amp;"]]"),O$7) = 0, "", SUMIFS(DB[[CONTROLE2]:[CONTROLE2]],DB[[COR]:[COR]],$C19,DB[[TAMANHO]:[TAMANHO]],O$5,INDIRECT("DB[["&amp;$C$4&amp;"]:["&amp;$C$4&amp;"]]"),O$7))</f>
        <v>#REF!</v>
      </c>
      <c r="P19" s="15" t="str">
        <f t="shared" ca="1" si="3"/>
        <v>0/0</v>
      </c>
    </row>
    <row r="20" spans="1:18" x14ac:dyDescent="0.25">
      <c r="B20" s="22" t="e">
        <f t="shared" ca="1" si="2"/>
        <v>#REF!</v>
      </c>
      <c r="C20" s="4" t="s">
        <v>14</v>
      </c>
      <c r="D20" s="3" t="e">
        <f ca="1">IF(SUMIFS(DB[[CONTROLE2]:[CONTROLE2]],DB[[COR]:[COR]],$C20,DB[[TAMANHO]:[TAMANHO]],D$5,INDIRECT("DB[["&amp;$C$4&amp;"]:["&amp;$C$4&amp;"]]"),D$7) = 0, "", SUMIFS(DB[[CONTROLE2]:[CONTROLE2]],DB[[COR]:[COR]],$C20,DB[[TAMANHO]:[TAMANHO]],D$5,INDIRECT("DB[["&amp;$C$4&amp;"]:["&amp;$C$4&amp;"]]"),D$7))</f>
        <v>#REF!</v>
      </c>
      <c r="E20" s="3" t="e">
        <f ca="1">IF(SUMIFS(DB[[CONTROLE2]:[CONTROLE2]],DB[[COR]:[COR]],$C20,DB[[TAMANHO]:[TAMANHO]],E$5,INDIRECT("DB[["&amp;$C$4&amp;"]:["&amp;$C$4&amp;"]]"),E$7) = 0, "", SUMIFS(DB[[CONTROLE2]:[CONTROLE2]],DB[[COR]:[COR]],$C20,DB[[TAMANHO]:[TAMANHO]],E$5,INDIRECT("DB[["&amp;$C$4&amp;"]:["&amp;$C$4&amp;"]]"),E$7))</f>
        <v>#REF!</v>
      </c>
      <c r="F20" s="3" t="e">
        <f ca="1">IF(SUMIFS(DB[[CONTROLE2]:[CONTROLE2]],DB[[COR]:[COR]],$C20,DB[[TAMANHO]:[TAMANHO]],F$5,INDIRECT("DB[["&amp;$C$4&amp;"]:["&amp;$C$4&amp;"]]"),F$7) = 0, "", SUMIFS(DB[[CONTROLE2]:[CONTROLE2]],DB[[COR]:[COR]],$C20,DB[[TAMANHO]:[TAMANHO]],F$5,INDIRECT("DB[["&amp;$C$4&amp;"]:["&amp;$C$4&amp;"]]"),F$7))</f>
        <v>#REF!</v>
      </c>
      <c r="G20" s="3" t="e">
        <f ca="1">IF(SUMIFS(DB[[CONTROLE2]:[CONTROLE2]],DB[[COR]:[COR]],$C20,DB[[TAMANHO]:[TAMANHO]],G$5,INDIRECT("DB[["&amp;$C$4&amp;"]:["&amp;$C$4&amp;"]]"),G$7) = 0, "", SUMIFS(DB[[CONTROLE2]:[CONTROLE2]],DB[[COR]:[COR]],$C20,DB[[TAMANHO]:[TAMANHO]],G$5,INDIRECT("DB[["&amp;$C$4&amp;"]:["&amp;$C$4&amp;"]]"),G$7))</f>
        <v>#REF!</v>
      </c>
      <c r="H20" s="3" t="e">
        <f ca="1">IF(SUMIFS(DB[[CONTROLE2]:[CONTROLE2]],DB[[COR]:[COR]],$C20,DB[[TAMANHO]:[TAMANHO]],H$5,INDIRECT("DB[["&amp;$C$4&amp;"]:["&amp;$C$4&amp;"]]"),H$7) = 0, "", SUMIFS(DB[[CONTROLE2]:[CONTROLE2]],DB[[COR]:[COR]],$C20,DB[[TAMANHO]:[TAMANHO]],H$5,INDIRECT("DB[["&amp;$C$4&amp;"]:["&amp;$C$4&amp;"]]"),H$7))</f>
        <v>#REF!</v>
      </c>
      <c r="I20" s="3" t="e">
        <f ca="1">IF(SUMIFS(DB[[CONTROLE2]:[CONTROLE2]],DB[[COR]:[COR]],$C20,DB[[TAMANHO]:[TAMANHO]],I$5,INDIRECT("DB[["&amp;$C$4&amp;"]:["&amp;$C$4&amp;"]]"),I$7) = 0, "", SUMIFS(DB[[CONTROLE2]:[CONTROLE2]],DB[[COR]:[COR]],$C20,DB[[TAMANHO]:[TAMANHO]],I$5,INDIRECT("DB[["&amp;$C$4&amp;"]:["&amp;$C$4&amp;"]]"),I$7))</f>
        <v>#REF!</v>
      </c>
      <c r="J20" s="3" t="e">
        <f ca="1">IF(SUMIFS(DB[[CONTROLE2]:[CONTROLE2]],DB[[COR]:[COR]],$C20,DB[[TAMANHO]:[TAMANHO]],J$5,INDIRECT("DB[["&amp;$C$4&amp;"]:["&amp;$C$4&amp;"]]"),J$7) = 0, "", SUMIFS(DB[[CONTROLE2]:[CONTROLE2]],DB[[COR]:[COR]],$C20,DB[[TAMANHO]:[TAMANHO]],J$5,INDIRECT("DB[["&amp;$C$4&amp;"]:["&amp;$C$4&amp;"]]"),J$7))</f>
        <v>#REF!</v>
      </c>
      <c r="K20" s="3" t="e">
        <f ca="1">IF(SUMIFS(DB[[CONTROLE2]:[CONTROLE2]],DB[[COR]:[COR]],$C20,DB[[TAMANHO]:[TAMANHO]],K$5,INDIRECT("DB[["&amp;$C$4&amp;"]:["&amp;$C$4&amp;"]]"),K$7) = 0, "", SUMIFS(DB[[CONTROLE2]:[CONTROLE2]],DB[[COR]:[COR]],$C20,DB[[TAMANHO]:[TAMANHO]],K$5,INDIRECT("DB[["&amp;$C$4&amp;"]:["&amp;$C$4&amp;"]]"),K$7))</f>
        <v>#REF!</v>
      </c>
      <c r="L20" s="3" t="e">
        <f ca="1">IF(SUMIFS(DB[[CONTROLE2]:[CONTROLE2]],DB[[COR]:[COR]],$C20,DB[[TAMANHO]:[TAMANHO]],L$5,INDIRECT("DB[["&amp;$C$4&amp;"]:["&amp;$C$4&amp;"]]"),L$7) = 0, "", SUMIFS(DB[[CONTROLE2]:[CONTROLE2]],DB[[COR]:[COR]],$C20,DB[[TAMANHO]:[TAMANHO]],L$5,INDIRECT("DB[["&amp;$C$4&amp;"]:["&amp;$C$4&amp;"]]"),L$7))</f>
        <v>#REF!</v>
      </c>
      <c r="M20" s="3" t="e">
        <f ca="1">IF(SUMIFS(DB[[CONTROLE2]:[CONTROLE2]],DB[[COR]:[COR]],$C20,DB[[TAMANHO]:[TAMANHO]],M$5,INDIRECT("DB[["&amp;$C$4&amp;"]:["&amp;$C$4&amp;"]]"),M$7) = 0, "", SUMIFS(DB[[CONTROLE2]:[CONTROLE2]],DB[[COR]:[COR]],$C20,DB[[TAMANHO]:[TAMANHO]],M$5,INDIRECT("DB[["&amp;$C$4&amp;"]:["&amp;$C$4&amp;"]]"),M$7))</f>
        <v>#REF!</v>
      </c>
      <c r="N20" s="3" t="e">
        <f ca="1">IF(SUMIFS(DB[[CONTROLE2]:[CONTROLE2]],DB[[COR]:[COR]],$C20,DB[[TAMANHO]:[TAMANHO]],N$5,INDIRECT("DB[["&amp;$C$4&amp;"]:["&amp;$C$4&amp;"]]"),N$7) = 0, "", SUMIFS(DB[[CONTROLE2]:[CONTROLE2]],DB[[COR]:[COR]],$C20,DB[[TAMANHO]:[TAMANHO]],N$5,INDIRECT("DB[["&amp;$C$4&amp;"]:["&amp;$C$4&amp;"]]"),N$7))</f>
        <v>#REF!</v>
      </c>
      <c r="O20" s="3" t="e">
        <f ca="1">IF(SUMIFS(DB[[CONTROLE2]:[CONTROLE2]],DB[[COR]:[COR]],$C20,DB[[TAMANHO]:[TAMANHO]],O$5,INDIRECT("DB[["&amp;$C$4&amp;"]:["&amp;$C$4&amp;"]]"),O$7) = 0, "", SUMIFS(DB[[CONTROLE2]:[CONTROLE2]],DB[[COR]:[COR]],$C20,DB[[TAMANHO]:[TAMANHO]],O$5,INDIRECT("DB[["&amp;$C$4&amp;"]:["&amp;$C$4&amp;"]]"),O$7))</f>
        <v>#REF!</v>
      </c>
      <c r="P20" s="15" t="str">
        <f t="shared" ca="1" si="3"/>
        <v>0/0</v>
      </c>
    </row>
    <row r="21" spans="1:18" s="6" customFormat="1" x14ac:dyDescent="0.25">
      <c r="B21" s="22" t="s">
        <v>36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P21" s="18"/>
    </row>
    <row r="22" spans="1:18" s="13" customFormat="1" ht="12" x14ac:dyDescent="0.2">
      <c r="A22" s="10"/>
      <c r="B22" s="22" t="e">
        <f ca="1">IF(SUM(D22:O22)=0,"OFF","ON")</f>
        <v>#REF!</v>
      </c>
      <c r="C22" s="14" t="s">
        <v>39</v>
      </c>
      <c r="D22" s="21" t="e">
        <f ca="1">SUM(D8:D20)</f>
        <v>#REF!</v>
      </c>
      <c r="E22" s="21" t="e">
        <f ca="1">SUM(E8:E20)</f>
        <v>#REF!</v>
      </c>
      <c r="F22" s="21" t="e">
        <f ca="1">SUM(F8:F20)</f>
        <v>#REF!</v>
      </c>
      <c r="G22" s="21" t="e">
        <f ca="1">SUM(G8:G20)</f>
        <v>#REF!</v>
      </c>
      <c r="H22" s="21" t="e">
        <f ca="1">SUM(H8:H20)</f>
        <v>#REF!</v>
      </c>
      <c r="I22" s="21" t="e">
        <f ca="1">SUM(I8:I20)</f>
        <v>#REF!</v>
      </c>
      <c r="J22" s="21" t="e">
        <f ca="1">SUM(J8:J20)</f>
        <v>#REF!</v>
      </c>
      <c r="K22" s="21" t="e">
        <f ca="1">SUM(K8:K20)</f>
        <v>#REF!</v>
      </c>
      <c r="L22" s="21" t="e">
        <f ca="1">SUM(L8:L20)</f>
        <v>#REF!</v>
      </c>
      <c r="M22" s="21" t="e">
        <f ca="1">SUM(M8:M20)</f>
        <v>#REF!</v>
      </c>
      <c r="N22" s="21" t="e">
        <f ca="1">SUM(N8:N20)</f>
        <v>#REF!</v>
      </c>
      <c r="O22" s="21" t="e">
        <f ca="1">SUM(O8:O20)</f>
        <v>#REF!</v>
      </c>
      <c r="P22" s="16" t="e">
        <f ca="1">SUM(D22:O22)</f>
        <v>#REF!</v>
      </c>
      <c r="Q22" s="10"/>
      <c r="R22" s="10"/>
    </row>
    <row r="23" spans="1:18" s="6" customFormat="1" x14ac:dyDescent="0.25">
      <c r="B23" s="22" t="s">
        <v>37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P23" s="18"/>
    </row>
    <row r="24" spans="1:18" s="6" customFormat="1" x14ac:dyDescent="0.25">
      <c r="B24" s="22" t="s">
        <v>37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P24" s="18"/>
    </row>
    <row r="25" spans="1:18" x14ac:dyDescent="0.25">
      <c r="B25" s="22" t="s">
        <v>37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6"/>
      <c r="P25" s="18"/>
    </row>
    <row r="26" spans="1:18" x14ac:dyDescent="0.25">
      <c r="A26" s="6" t="s">
        <v>40</v>
      </c>
      <c r="B26" s="22" t="s">
        <v>37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6"/>
      <c r="P26" s="18"/>
    </row>
  </sheetData>
  <mergeCells count="7">
    <mergeCell ref="D3:M4"/>
    <mergeCell ref="N6:O6"/>
    <mergeCell ref="D6:E6"/>
    <mergeCell ref="F6:G6"/>
    <mergeCell ref="H6:I6"/>
    <mergeCell ref="J6:K6"/>
    <mergeCell ref="L6:M6"/>
  </mergeCells>
  <printOptions horizontalCentered="1"/>
  <pageMargins left="0.23622047244094491" right="0.23622047244094491" top="0.78740157480314965" bottom="1.9685039370078741" header="0.31496062992125984" footer="0.31496062992125984"/>
  <pageSetup paperSize="9" fitToHeight="0" orientation="portrait" r:id="rId1"/>
  <drawing r:id="rId2"/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20E9F-1FE7-4E8B-BD34-449E8D415502}">
  <sheetPr codeName="Planilha8"/>
  <dimension ref="A1:K7"/>
  <sheetViews>
    <sheetView workbookViewId="0">
      <selection activeCell="H4" sqref="H4"/>
    </sheetView>
  </sheetViews>
  <sheetFormatPr defaultRowHeight="15" x14ac:dyDescent="0.25"/>
  <cols>
    <col min="2" max="2" width="28" bestFit="1" customWidth="1"/>
    <col min="3" max="11" width="4.28515625" customWidth="1"/>
  </cols>
  <sheetData>
    <row r="1" spans="1:11" x14ac:dyDescent="0.25">
      <c r="A1" s="1"/>
      <c r="B1" s="1"/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  <c r="J1" s="1">
        <v>8</v>
      </c>
      <c r="K1" s="1">
        <v>9</v>
      </c>
    </row>
    <row r="2" spans="1:11" x14ac:dyDescent="0.25">
      <c r="A2" s="1">
        <v>1</v>
      </c>
      <c r="B2" s="1" t="s">
        <v>41</v>
      </c>
      <c r="C2" s="1" t="s">
        <v>25</v>
      </c>
      <c r="D2" s="1" t="s">
        <v>24</v>
      </c>
      <c r="E2" s="1" t="s">
        <v>26</v>
      </c>
      <c r="F2" s="1" t="s">
        <v>27</v>
      </c>
      <c r="G2" s="1" t="s">
        <v>28</v>
      </c>
      <c r="H2" s="1"/>
    </row>
    <row r="3" spans="1:11" x14ac:dyDescent="0.25">
      <c r="A3" s="1">
        <v>2</v>
      </c>
      <c r="B3" s="1" t="s">
        <v>42</v>
      </c>
      <c r="C3" s="1">
        <v>85</v>
      </c>
      <c r="D3" s="1">
        <v>90</v>
      </c>
      <c r="E3" s="1">
        <v>95</v>
      </c>
      <c r="F3" s="1">
        <v>100</v>
      </c>
      <c r="G3" s="1">
        <v>105</v>
      </c>
      <c r="H3" s="1"/>
    </row>
    <row r="4" spans="1:11" x14ac:dyDescent="0.25">
      <c r="A4" s="1">
        <v>3</v>
      </c>
      <c r="B4" s="1" t="s">
        <v>43</v>
      </c>
      <c r="C4" s="1">
        <v>38</v>
      </c>
      <c r="D4" s="1">
        <v>40</v>
      </c>
      <c r="E4" s="1">
        <v>42</v>
      </c>
      <c r="F4" s="1">
        <v>44</v>
      </c>
      <c r="G4" s="1">
        <v>46</v>
      </c>
      <c r="H4" s="1">
        <v>48</v>
      </c>
    </row>
    <row r="5" spans="1:11" x14ac:dyDescent="0.25">
      <c r="A5" s="1">
        <v>4</v>
      </c>
      <c r="B5" s="1" t="s">
        <v>45</v>
      </c>
      <c r="C5" s="1">
        <v>38</v>
      </c>
      <c r="D5" s="1">
        <v>39</v>
      </c>
      <c r="E5" s="1">
        <v>40</v>
      </c>
      <c r="F5" s="1">
        <v>41</v>
      </c>
      <c r="G5" s="1">
        <v>43</v>
      </c>
      <c r="H5" s="1">
        <v>45</v>
      </c>
    </row>
    <row r="6" spans="1:11" x14ac:dyDescent="0.25">
      <c r="A6" s="1">
        <v>5</v>
      </c>
      <c r="B6" s="1" t="s">
        <v>44</v>
      </c>
      <c r="C6" s="1">
        <v>38</v>
      </c>
      <c r="D6" s="1">
        <v>39</v>
      </c>
      <c r="E6" s="1">
        <v>40</v>
      </c>
      <c r="F6" s="1">
        <v>41</v>
      </c>
      <c r="G6" s="1">
        <v>42</v>
      </c>
      <c r="H6" s="1">
        <v>43</v>
      </c>
      <c r="I6" s="1"/>
    </row>
    <row r="7" spans="1:11" x14ac:dyDescent="0.25">
      <c r="A7" s="1">
        <v>6</v>
      </c>
      <c r="B7" s="1" t="s">
        <v>221</v>
      </c>
      <c r="C7" s="1">
        <v>28</v>
      </c>
      <c r="D7" s="1">
        <v>29</v>
      </c>
      <c r="E7" s="1">
        <v>30</v>
      </c>
      <c r="F7" s="1">
        <v>31</v>
      </c>
      <c r="G7" s="1">
        <v>32</v>
      </c>
      <c r="H7" s="1">
        <v>33</v>
      </c>
      <c r="I7" s="1">
        <v>34</v>
      </c>
      <c r="J7" s="1">
        <v>36</v>
      </c>
      <c r="K7" s="1">
        <v>38</v>
      </c>
    </row>
  </sheetData>
  <sortState xmlns:xlrd2="http://schemas.microsoft.com/office/spreadsheetml/2017/richdata2" ref="B2:G275">
    <sortCondition descending="1" ref="B2:B275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A77A1-AF67-4E2C-A359-DBFB68794A60}">
  <sheetPr codeName="Planilha16"/>
  <dimension ref="A1:L92"/>
  <sheetViews>
    <sheetView workbookViewId="0">
      <selection activeCell="L3" sqref="L3"/>
    </sheetView>
  </sheetViews>
  <sheetFormatPr defaultRowHeight="11.25" x14ac:dyDescent="0.2"/>
  <cols>
    <col min="1" max="1" width="8.5703125" style="20" bestFit="1" customWidth="1"/>
    <col min="2" max="2" width="12.28515625" style="20" bestFit="1" customWidth="1"/>
    <col min="3" max="3" width="67.7109375" style="20" bestFit="1" customWidth="1"/>
    <col min="4" max="4" width="14.42578125" style="20" bestFit="1" customWidth="1"/>
    <col min="5" max="5" width="10.42578125" style="20" bestFit="1" customWidth="1"/>
    <col min="6" max="6" width="7.7109375" style="34" bestFit="1" customWidth="1"/>
    <col min="7" max="7" width="9.28515625" style="20" bestFit="1" customWidth="1"/>
    <col min="8" max="8" width="9.28515625" style="20" customWidth="1"/>
    <col min="9" max="9" width="9.42578125" style="20" bestFit="1" customWidth="1"/>
    <col min="10" max="10" width="10.140625" style="20" bestFit="1" customWidth="1"/>
    <col min="11" max="11" width="11.5703125" style="20" bestFit="1" customWidth="1"/>
    <col min="12" max="12" width="11" style="20" bestFit="1" customWidth="1"/>
    <col min="13" max="16384" width="9.140625" style="20"/>
  </cols>
  <sheetData>
    <row r="1" spans="1:12" x14ac:dyDescent="0.2">
      <c r="A1" s="20">
        <v>1</v>
      </c>
      <c r="B1" s="20">
        <v>2</v>
      </c>
      <c r="C1" s="20">
        <v>3</v>
      </c>
      <c r="D1" s="20">
        <v>4</v>
      </c>
      <c r="E1" s="20">
        <v>5</v>
      </c>
      <c r="F1" s="34">
        <v>6</v>
      </c>
      <c r="G1" s="20">
        <v>7</v>
      </c>
      <c r="H1" s="20">
        <v>8</v>
      </c>
      <c r="I1" s="20">
        <v>10</v>
      </c>
    </row>
    <row r="2" spans="1:12" x14ac:dyDescent="0.2">
      <c r="A2" s="20" t="s">
        <v>29</v>
      </c>
      <c r="B2" s="20" t="s">
        <v>10</v>
      </c>
      <c r="C2" s="20" t="s">
        <v>9</v>
      </c>
      <c r="D2" s="20" t="s">
        <v>30</v>
      </c>
      <c r="E2" s="20" t="s">
        <v>31</v>
      </c>
      <c r="F2" s="34" t="s">
        <v>32</v>
      </c>
      <c r="G2" s="20" t="s">
        <v>49</v>
      </c>
      <c r="H2" s="20" t="s">
        <v>34</v>
      </c>
      <c r="I2" s="20" t="s">
        <v>48</v>
      </c>
      <c r="J2" s="20" t="s">
        <v>50</v>
      </c>
      <c r="K2" s="20" t="s">
        <v>53</v>
      </c>
      <c r="L2" s="20" t="s">
        <v>54</v>
      </c>
    </row>
    <row r="3" spans="1:12" ht="12" x14ac:dyDescent="0.2">
      <c r="A3" s="33" t="s">
        <v>58</v>
      </c>
      <c r="B3" s="33" t="s">
        <v>148</v>
      </c>
      <c r="C3" s="33" t="s">
        <v>179</v>
      </c>
      <c r="D3" s="33" t="s">
        <v>23</v>
      </c>
      <c r="E3" s="33" t="s">
        <v>211</v>
      </c>
      <c r="F3" s="35">
        <v>1</v>
      </c>
      <c r="G3" s="20" t="str">
        <f>vest(DB[[#This Row],[DESCRICAO]],2)</f>
        <v>CALCA JEANS</v>
      </c>
      <c r="H3" s="20" t="str">
        <f>CORTE(DB[[#This Row],[DESCRICAO]])</f>
        <v>RONNIE</v>
      </c>
      <c r="I3" s="20" t="s">
        <v>47</v>
      </c>
      <c r="J3" s="20">
        <f>SUBTOTAL(103,DB[[#This Row],[SALDO]])</f>
        <v>1</v>
      </c>
      <c r="L3" s="20">
        <f>SUBTOTAL(103,DB[[#This Row],[SALDO]])*DB[[#This Row],[SALDO]]</f>
        <v>1</v>
      </c>
    </row>
    <row r="4" spans="1:12" ht="12" x14ac:dyDescent="0.2">
      <c r="A4" s="33" t="s">
        <v>59</v>
      </c>
      <c r="B4" s="33" t="s">
        <v>149</v>
      </c>
      <c r="C4" s="33" t="s">
        <v>180</v>
      </c>
      <c r="D4" s="33" t="s">
        <v>21</v>
      </c>
      <c r="E4" s="33" t="s">
        <v>211</v>
      </c>
      <c r="F4" s="35">
        <v>1</v>
      </c>
      <c r="G4" s="20" t="str">
        <f>vest(DB[[#This Row],[DESCRICAO]],2)</f>
        <v>CALCA JEANS</v>
      </c>
      <c r="H4" s="20" t="str">
        <f>CORTE(DB[[#This Row],[DESCRICAO]])</f>
        <v>SLIMMY</v>
      </c>
      <c r="I4" s="20" t="s">
        <v>47</v>
      </c>
      <c r="J4" s="20">
        <f>SUBTOTAL(103,DB[[#This Row],[SALDO]])</f>
        <v>1</v>
      </c>
      <c r="L4" s="20">
        <f>SUBTOTAL(103,DB[[#This Row],[SALDO]])*DB[[#This Row],[SALDO]]</f>
        <v>1</v>
      </c>
    </row>
    <row r="5" spans="1:12" ht="12" x14ac:dyDescent="0.2">
      <c r="A5" s="33" t="s">
        <v>60</v>
      </c>
      <c r="B5" s="33" t="s">
        <v>149</v>
      </c>
      <c r="C5" s="33" t="s">
        <v>180</v>
      </c>
      <c r="D5" s="33" t="s">
        <v>21</v>
      </c>
      <c r="E5" s="33" t="s">
        <v>212</v>
      </c>
      <c r="F5" s="35">
        <v>1</v>
      </c>
      <c r="G5" s="20" t="str">
        <f>vest(DB[[#This Row],[DESCRICAO]],2)</f>
        <v>CALCA JEANS</v>
      </c>
      <c r="H5" s="20" t="str">
        <f>CORTE(DB[[#This Row],[DESCRICAO]])</f>
        <v>SLIMMY</v>
      </c>
      <c r="I5" s="20" t="s">
        <v>47</v>
      </c>
      <c r="J5" s="20">
        <f>SUBTOTAL(103,DB[[#This Row],[SALDO]])</f>
        <v>1</v>
      </c>
      <c r="L5" s="20">
        <f>SUBTOTAL(103,DB[[#This Row],[SALDO]])*DB[[#This Row],[SALDO]]</f>
        <v>1</v>
      </c>
    </row>
    <row r="6" spans="1:12" ht="12" x14ac:dyDescent="0.2">
      <c r="A6" s="33" t="s">
        <v>61</v>
      </c>
      <c r="B6" s="33" t="s">
        <v>149</v>
      </c>
      <c r="C6" s="33" t="s">
        <v>180</v>
      </c>
      <c r="D6" s="33" t="s">
        <v>21</v>
      </c>
      <c r="E6" s="33" t="s">
        <v>213</v>
      </c>
      <c r="F6" s="35">
        <v>1</v>
      </c>
      <c r="G6" s="20" t="str">
        <f>vest(DB[[#This Row],[DESCRICAO]],2)</f>
        <v>CALCA JEANS</v>
      </c>
      <c r="H6" s="20" t="str">
        <f>CORTE(DB[[#This Row],[DESCRICAO]])</f>
        <v>SLIMMY</v>
      </c>
      <c r="I6" s="20" t="s">
        <v>47</v>
      </c>
      <c r="J6" s="20">
        <f>SUBTOTAL(103,DB[[#This Row],[SALDO]])</f>
        <v>1</v>
      </c>
      <c r="L6" s="20">
        <f>SUBTOTAL(103,DB[[#This Row],[SALDO]])*DB[[#This Row],[SALDO]]</f>
        <v>1</v>
      </c>
    </row>
    <row r="7" spans="1:12" ht="12" x14ac:dyDescent="0.2">
      <c r="A7" s="33" t="s">
        <v>62</v>
      </c>
      <c r="B7" s="33" t="s">
        <v>150</v>
      </c>
      <c r="C7" s="33" t="s">
        <v>181</v>
      </c>
      <c r="D7" s="33" t="s">
        <v>21</v>
      </c>
      <c r="E7" s="33" t="s">
        <v>212</v>
      </c>
      <c r="F7" s="35">
        <v>1</v>
      </c>
      <c r="G7" s="20" t="str">
        <f>vest(DB[[#This Row],[DESCRICAO]],2)</f>
        <v>CALCA JEANS</v>
      </c>
      <c r="H7" s="20" t="str">
        <f>CORTE(DB[[#This Row],[DESCRICAO]])</f>
        <v>SLIMMY</v>
      </c>
      <c r="I7" s="20" t="s">
        <v>47</v>
      </c>
      <c r="J7" s="20">
        <f>SUBTOTAL(103,DB[[#This Row],[SALDO]])</f>
        <v>1</v>
      </c>
      <c r="L7" s="20">
        <f>SUBTOTAL(103,DB[[#This Row],[SALDO]])*DB[[#This Row],[SALDO]]</f>
        <v>1</v>
      </c>
    </row>
    <row r="8" spans="1:12" ht="12" x14ac:dyDescent="0.2">
      <c r="A8" s="33" t="s">
        <v>63</v>
      </c>
      <c r="B8" s="33" t="s">
        <v>150</v>
      </c>
      <c r="C8" s="33" t="s">
        <v>182</v>
      </c>
      <c r="D8" s="33" t="s">
        <v>21</v>
      </c>
      <c r="E8" s="33" t="s">
        <v>214</v>
      </c>
      <c r="F8" s="35">
        <v>1</v>
      </c>
      <c r="G8" s="20" t="str">
        <f>vest(DB[[#This Row],[DESCRICAO]],2)</f>
        <v>CALCA JEANS</v>
      </c>
      <c r="H8" s="20" t="str">
        <f>CORTE(DB[[#This Row],[DESCRICAO]])</f>
        <v>SLIMMY</v>
      </c>
      <c r="I8" s="20" t="s">
        <v>47</v>
      </c>
      <c r="J8" s="20">
        <f>SUBTOTAL(103,DB[[#This Row],[SALDO]])</f>
        <v>1</v>
      </c>
      <c r="L8" s="20">
        <f>SUBTOTAL(103,DB[[#This Row],[SALDO]])*DB[[#This Row],[SALDO]]</f>
        <v>1</v>
      </c>
    </row>
    <row r="9" spans="1:12" ht="12" x14ac:dyDescent="0.2">
      <c r="A9" s="33" t="s">
        <v>64</v>
      </c>
      <c r="B9" s="33" t="s">
        <v>151</v>
      </c>
      <c r="C9" s="33" t="s">
        <v>183</v>
      </c>
      <c r="D9" s="33" t="s">
        <v>21</v>
      </c>
      <c r="E9" s="33" t="s">
        <v>213</v>
      </c>
      <c r="F9" s="35">
        <v>1</v>
      </c>
      <c r="G9" s="20" t="str">
        <f>vest(DB[[#This Row],[DESCRICAO]],2)</f>
        <v>CALCA JEANS</v>
      </c>
      <c r="H9" s="20" t="str">
        <f>CORTE(DB[[#This Row],[DESCRICAO]])</f>
        <v>SLIMMY</v>
      </c>
      <c r="I9" s="20" t="s">
        <v>47</v>
      </c>
      <c r="J9" s="20">
        <f>SUBTOTAL(103,DB[[#This Row],[SALDO]])</f>
        <v>1</v>
      </c>
      <c r="L9" s="20">
        <f>SUBTOTAL(103,DB[[#This Row],[SALDO]])*DB[[#This Row],[SALDO]]</f>
        <v>1</v>
      </c>
    </row>
    <row r="10" spans="1:12" ht="12" x14ac:dyDescent="0.2">
      <c r="A10" s="33" t="s">
        <v>65</v>
      </c>
      <c r="B10" s="33" t="s">
        <v>152</v>
      </c>
      <c r="C10" s="33" t="s">
        <v>184</v>
      </c>
      <c r="D10" s="33" t="s">
        <v>23</v>
      </c>
      <c r="E10" s="33" t="s">
        <v>213</v>
      </c>
      <c r="F10" s="35">
        <v>1</v>
      </c>
      <c r="G10" s="20" t="str">
        <f>vest(DB[[#This Row],[DESCRICAO]],2)</f>
        <v>CALCA JEANS</v>
      </c>
      <c r="H10" s="20" t="str">
        <f>CORTE(DB[[#This Row],[DESCRICAO]])</f>
        <v>RONNIE</v>
      </c>
      <c r="I10" s="20" t="s">
        <v>47</v>
      </c>
      <c r="J10" s="20">
        <f>SUBTOTAL(103,DB[[#This Row],[SALDO]])</f>
        <v>1</v>
      </c>
      <c r="L10" s="20">
        <f>SUBTOTAL(103,DB[[#This Row],[SALDO]])*DB[[#This Row],[SALDO]]</f>
        <v>1</v>
      </c>
    </row>
    <row r="11" spans="1:12" ht="12" x14ac:dyDescent="0.2">
      <c r="A11" s="33" t="s">
        <v>66</v>
      </c>
      <c r="B11" s="33" t="s">
        <v>152</v>
      </c>
      <c r="C11" s="33" t="s">
        <v>184</v>
      </c>
      <c r="D11" s="33" t="s">
        <v>23</v>
      </c>
      <c r="E11" s="33" t="s">
        <v>215</v>
      </c>
      <c r="F11" s="35">
        <v>1</v>
      </c>
      <c r="G11" s="20" t="str">
        <f>vest(DB[[#This Row],[DESCRICAO]],2)</f>
        <v>CALCA JEANS</v>
      </c>
      <c r="H11" s="20" t="str">
        <f>CORTE(DB[[#This Row],[DESCRICAO]])</f>
        <v>RONNIE</v>
      </c>
      <c r="I11" s="20" t="s">
        <v>47</v>
      </c>
      <c r="J11" s="20">
        <f>SUBTOTAL(103,DB[[#This Row],[SALDO]])</f>
        <v>1</v>
      </c>
      <c r="L11" s="20">
        <f>SUBTOTAL(103,DB[[#This Row],[SALDO]])*DB[[#This Row],[SALDO]]</f>
        <v>1</v>
      </c>
    </row>
    <row r="12" spans="1:12" ht="12" x14ac:dyDescent="0.2">
      <c r="A12" s="33" t="s">
        <v>67</v>
      </c>
      <c r="B12" s="33" t="s">
        <v>153</v>
      </c>
      <c r="C12" s="36" t="s">
        <v>185</v>
      </c>
      <c r="D12" s="33" t="s">
        <v>23</v>
      </c>
      <c r="E12" s="33" t="s">
        <v>216</v>
      </c>
      <c r="F12" s="35">
        <v>1</v>
      </c>
      <c r="G12" s="20" t="str">
        <f>vest(DB[[#This Row],[DESCRICAO]] &amp; " " &amp;DB[[#This Row],[COR]],2)</f>
        <v>CALCA JEANS</v>
      </c>
      <c r="H12" s="20" t="str">
        <f>CORTE(DB[[#This Row],[DESCRICAO]])</f>
        <v>SLIMMY</v>
      </c>
      <c r="I12" s="20" t="s">
        <v>47</v>
      </c>
      <c r="J12" s="20">
        <f>SUBTOTAL(103,DB[[#This Row],[SALDO]])</f>
        <v>1</v>
      </c>
      <c r="L12" s="20">
        <f>SUBTOTAL(103,DB[[#This Row],[SALDO]])*DB[[#This Row],[SALDO]]</f>
        <v>1</v>
      </c>
    </row>
    <row r="13" spans="1:12" ht="12" x14ac:dyDescent="0.2">
      <c r="A13" s="33" t="s">
        <v>68</v>
      </c>
      <c r="B13" s="33" t="s">
        <v>154</v>
      </c>
      <c r="C13" s="33" t="s">
        <v>186</v>
      </c>
      <c r="D13" s="33" t="s">
        <v>21</v>
      </c>
      <c r="E13" s="33" t="s">
        <v>211</v>
      </c>
      <c r="F13" s="35">
        <v>1</v>
      </c>
      <c r="G13" s="20" t="str">
        <f>vest(DB[[#This Row],[DESCRICAO]] &amp; " " &amp;DB[[#This Row],[COR]],2)</f>
        <v>CALCA JEANS</v>
      </c>
      <c r="H13" s="20" t="str">
        <f>CORTE(DB[[#This Row],[DESCRICAO]])</f>
        <v>PAXTYN</v>
      </c>
      <c r="I13" s="20" t="s">
        <v>47</v>
      </c>
      <c r="J13" s="20">
        <f>SUBTOTAL(103,DB[[#This Row],[SALDO]])</f>
        <v>1</v>
      </c>
      <c r="L13" s="20">
        <f>SUBTOTAL(103,DB[[#This Row],[SALDO]])*DB[[#This Row],[SALDO]]</f>
        <v>1</v>
      </c>
    </row>
    <row r="14" spans="1:12" ht="12" x14ac:dyDescent="0.2">
      <c r="A14" s="33" t="s">
        <v>69</v>
      </c>
      <c r="B14" s="33" t="s">
        <v>155</v>
      </c>
      <c r="C14" s="33" t="s">
        <v>187</v>
      </c>
      <c r="D14" s="33" t="s">
        <v>23</v>
      </c>
      <c r="E14" s="33" t="s">
        <v>212</v>
      </c>
      <c r="F14" s="35">
        <v>1</v>
      </c>
      <c r="G14" s="20" t="str">
        <f>vest(DB[[#This Row],[DESCRICAO]] &amp; " " &amp;DB[[#This Row],[COR]],2)</f>
        <v>CALCA JEANS</v>
      </c>
      <c r="H14" s="20" t="str">
        <f>CORTE(DB[[#This Row],[DESCRICAO]])</f>
        <v>PAXTYN</v>
      </c>
      <c r="I14" s="20" t="s">
        <v>47</v>
      </c>
      <c r="J14" s="20">
        <f>SUBTOTAL(103,DB[[#This Row],[SALDO]])</f>
        <v>1</v>
      </c>
      <c r="L14" s="20">
        <f>SUBTOTAL(103,DB[[#This Row],[SALDO]])*DB[[#This Row],[SALDO]]</f>
        <v>1</v>
      </c>
    </row>
    <row r="15" spans="1:12" ht="12" x14ac:dyDescent="0.2">
      <c r="A15" s="33" t="s">
        <v>70</v>
      </c>
      <c r="B15" s="33" t="s">
        <v>156</v>
      </c>
      <c r="C15" s="33" t="s">
        <v>188</v>
      </c>
      <c r="D15" s="33" t="s">
        <v>19</v>
      </c>
      <c r="E15" s="33" t="s">
        <v>214</v>
      </c>
      <c r="F15" s="35">
        <v>1</v>
      </c>
      <c r="G15" s="20" t="str">
        <f>vest(DB[[#This Row],[DESCRICAO]],2)</f>
        <v>CALCA CHINO</v>
      </c>
      <c r="H15" s="20" t="str">
        <f>CORTE(DB[[#This Row],[DESCRICAO]])</f>
        <v>CHINO</v>
      </c>
      <c r="I15" s="20" t="s">
        <v>47</v>
      </c>
      <c r="J15" s="20">
        <f>SUBTOTAL(103,DB[[#This Row],[SALDO]])</f>
        <v>1</v>
      </c>
      <c r="L15" s="20">
        <f>SUBTOTAL(103,DB[[#This Row],[SALDO]])*DB[[#This Row],[SALDO]]</f>
        <v>1</v>
      </c>
    </row>
    <row r="16" spans="1:12" ht="12" x14ac:dyDescent="0.2">
      <c r="A16" s="33" t="s">
        <v>71</v>
      </c>
      <c r="B16" s="33" t="s">
        <v>157</v>
      </c>
      <c r="C16" s="33" t="s">
        <v>189</v>
      </c>
      <c r="D16" s="33" t="s">
        <v>20</v>
      </c>
      <c r="E16" s="33" t="s">
        <v>218</v>
      </c>
      <c r="F16" s="35">
        <v>2</v>
      </c>
      <c r="G16" s="20" t="str">
        <f>vest(DB[[#This Row],[DESCRICAO]],2)</f>
        <v>CALCA CHINO</v>
      </c>
      <c r="H16" s="20" t="str">
        <f>CORTE(DB[[#This Row],[DESCRICAO]])</f>
        <v>CHINO</v>
      </c>
      <c r="I16" s="20" t="s">
        <v>47</v>
      </c>
      <c r="J16" s="20">
        <f>SUBTOTAL(103,DB[[#This Row],[SALDO]])</f>
        <v>1</v>
      </c>
      <c r="L16" s="20">
        <f>SUBTOTAL(103,DB[[#This Row],[SALDO]])*DB[[#This Row],[SALDO]]</f>
        <v>2</v>
      </c>
    </row>
    <row r="17" spans="1:12" ht="12" x14ac:dyDescent="0.2">
      <c r="A17" s="33" t="s">
        <v>72</v>
      </c>
      <c r="B17" s="33" t="s">
        <v>157</v>
      </c>
      <c r="C17" s="33" t="s">
        <v>189</v>
      </c>
      <c r="D17" s="33" t="s">
        <v>20</v>
      </c>
      <c r="E17" s="33" t="s">
        <v>219</v>
      </c>
      <c r="F17" s="35">
        <v>1</v>
      </c>
      <c r="G17" s="20" t="str">
        <f>vest(DB[[#This Row],[DESCRICAO]],2)</f>
        <v>CALCA CHINO</v>
      </c>
      <c r="H17" s="20" t="str">
        <f>CORTE(DB[[#This Row],[DESCRICAO]])</f>
        <v>CHINO</v>
      </c>
      <c r="I17" s="20" t="s">
        <v>47</v>
      </c>
      <c r="J17" s="20">
        <f>SUBTOTAL(103,DB[[#This Row],[SALDO]])</f>
        <v>1</v>
      </c>
      <c r="L17" s="20">
        <f>SUBTOTAL(103,DB[[#This Row],[SALDO]])*DB[[#This Row],[SALDO]]</f>
        <v>1</v>
      </c>
    </row>
    <row r="18" spans="1:12" ht="12" x14ac:dyDescent="0.2">
      <c r="A18" s="33" t="s">
        <v>73</v>
      </c>
      <c r="B18" s="33" t="s">
        <v>157</v>
      </c>
      <c r="C18" s="33" t="s">
        <v>189</v>
      </c>
      <c r="D18" s="33" t="s">
        <v>20</v>
      </c>
      <c r="E18" s="33" t="s">
        <v>212</v>
      </c>
      <c r="F18" s="35">
        <v>1</v>
      </c>
      <c r="G18" s="20" t="str">
        <f>vest(DB[[#This Row],[DESCRICAO]],2)</f>
        <v>CALCA CHINO</v>
      </c>
      <c r="H18" s="20" t="str">
        <f>CORTE(DB[[#This Row],[DESCRICAO]])</f>
        <v>CHINO</v>
      </c>
      <c r="I18" s="20" t="s">
        <v>47</v>
      </c>
      <c r="J18" s="20">
        <f>SUBTOTAL(103,DB[[#This Row],[SALDO]])</f>
        <v>1</v>
      </c>
      <c r="L18" s="20">
        <f>SUBTOTAL(103,DB[[#This Row],[SALDO]])*DB[[#This Row],[SALDO]]</f>
        <v>1</v>
      </c>
    </row>
    <row r="19" spans="1:12" ht="12" x14ac:dyDescent="0.2">
      <c r="A19" s="33" t="s">
        <v>74</v>
      </c>
      <c r="B19" s="33" t="s">
        <v>158</v>
      </c>
      <c r="C19" s="33" t="s">
        <v>190</v>
      </c>
      <c r="D19" s="33" t="s">
        <v>21</v>
      </c>
      <c r="E19" s="33" t="s">
        <v>212</v>
      </c>
      <c r="F19" s="35">
        <v>3</v>
      </c>
      <c r="G19" s="20" t="str">
        <f>vest(DB[[#This Row],[DESCRICAO]] &amp; " " &amp;DB[[#This Row],[COR]],2)</f>
        <v>CALCA JEANS</v>
      </c>
      <c r="H19" s="20" t="str">
        <f>CORTE(DB[[#This Row],[DESCRICAO]])</f>
        <v>PAXTYN</v>
      </c>
      <c r="I19" s="20" t="s">
        <v>47</v>
      </c>
      <c r="J19" s="20">
        <f>SUBTOTAL(103,DB[[#This Row],[SALDO]])</f>
        <v>1</v>
      </c>
      <c r="L19" s="20">
        <f>SUBTOTAL(103,DB[[#This Row],[SALDO]])*DB[[#This Row],[SALDO]]</f>
        <v>3</v>
      </c>
    </row>
    <row r="20" spans="1:12" ht="12" x14ac:dyDescent="0.2">
      <c r="A20" s="33" t="s">
        <v>75</v>
      </c>
      <c r="B20" s="33" t="s">
        <v>158</v>
      </c>
      <c r="C20" s="33" t="s">
        <v>190</v>
      </c>
      <c r="D20" s="33" t="s">
        <v>21</v>
      </c>
      <c r="E20" s="33" t="s">
        <v>220</v>
      </c>
      <c r="F20" s="35">
        <v>1</v>
      </c>
      <c r="G20" s="20" t="str">
        <f>vest(DB[[#This Row],[DESCRICAO]] &amp; " " &amp;DB[[#This Row],[COR]],2)</f>
        <v>CALCA JEANS</v>
      </c>
      <c r="H20" s="20" t="str">
        <f>CORTE(DB[[#This Row],[DESCRICAO]])</f>
        <v>PAXTYN</v>
      </c>
      <c r="I20" s="20" t="s">
        <v>47</v>
      </c>
      <c r="J20" s="20">
        <f>SUBTOTAL(103,DB[[#This Row],[SALDO]])</f>
        <v>1</v>
      </c>
      <c r="L20" s="20">
        <f>SUBTOTAL(103,DB[[#This Row],[SALDO]])*DB[[#This Row],[SALDO]]</f>
        <v>1</v>
      </c>
    </row>
    <row r="21" spans="1:12" ht="12" x14ac:dyDescent="0.2">
      <c r="A21" s="33" t="s">
        <v>76</v>
      </c>
      <c r="B21" s="33" t="s">
        <v>159</v>
      </c>
      <c r="C21" s="33" t="s">
        <v>191</v>
      </c>
      <c r="D21" s="33" t="s">
        <v>14</v>
      </c>
      <c r="E21" s="33" t="s">
        <v>213</v>
      </c>
      <c r="F21" s="35">
        <v>2</v>
      </c>
      <c r="G21" s="20" t="str">
        <f>vest(DB[[#This Row],[DESCRICAO]],2)</f>
        <v>CALCA CHINO</v>
      </c>
      <c r="H21" s="20" t="str">
        <f>CORTE(DB[[#This Row],[DESCRICAO]])</f>
        <v>CHINO</v>
      </c>
      <c r="I21" s="20" t="s">
        <v>47</v>
      </c>
      <c r="J21" s="20">
        <f>SUBTOTAL(103,DB[[#This Row],[SALDO]])</f>
        <v>1</v>
      </c>
      <c r="L21" s="20">
        <f>SUBTOTAL(103,DB[[#This Row],[SALDO]])*DB[[#This Row],[SALDO]]</f>
        <v>2</v>
      </c>
    </row>
    <row r="22" spans="1:12" ht="12" x14ac:dyDescent="0.2">
      <c r="A22" s="33" t="s">
        <v>77</v>
      </c>
      <c r="B22" s="33" t="s">
        <v>159</v>
      </c>
      <c r="C22" s="33" t="s">
        <v>191</v>
      </c>
      <c r="D22" s="33" t="s">
        <v>14</v>
      </c>
      <c r="E22" s="33" t="s">
        <v>217</v>
      </c>
      <c r="F22" s="35">
        <v>2</v>
      </c>
      <c r="G22" s="20" t="str">
        <f>vest(DB[[#This Row],[DESCRICAO]],2)</f>
        <v>CALCA CHINO</v>
      </c>
      <c r="H22" s="20" t="str">
        <f>CORTE(DB[[#This Row],[DESCRICAO]])</f>
        <v>CHINO</v>
      </c>
      <c r="I22" s="20" t="s">
        <v>47</v>
      </c>
      <c r="J22" s="20">
        <f>SUBTOTAL(103,DB[[#This Row],[SALDO]])</f>
        <v>1</v>
      </c>
      <c r="L22" s="20">
        <f>SUBTOTAL(103,DB[[#This Row],[SALDO]])*DB[[#This Row],[SALDO]]</f>
        <v>2</v>
      </c>
    </row>
    <row r="23" spans="1:12" ht="12" x14ac:dyDescent="0.2">
      <c r="A23" s="33" t="s">
        <v>78</v>
      </c>
      <c r="B23" s="33" t="s">
        <v>160</v>
      </c>
      <c r="C23" s="33" t="s">
        <v>192</v>
      </c>
      <c r="D23" s="33" t="s">
        <v>23</v>
      </c>
      <c r="E23" s="33" t="s">
        <v>219</v>
      </c>
      <c r="F23" s="35">
        <v>1</v>
      </c>
      <c r="G23" s="20" t="str">
        <f>vest(DB[[#This Row],[DESCRICAO]],2)</f>
        <v>CALCA JEANS</v>
      </c>
      <c r="H23" s="20" t="str">
        <f>CORTE(DB[[#This Row],[DESCRICAO]])</f>
        <v>PANTYN</v>
      </c>
      <c r="I23" s="20" t="s">
        <v>47</v>
      </c>
      <c r="J23" s="20">
        <f>SUBTOTAL(103,DB[[#This Row],[SALDO]])</f>
        <v>1</v>
      </c>
      <c r="L23" s="20">
        <f>SUBTOTAL(103,DB[[#This Row],[SALDO]])*DB[[#This Row],[SALDO]]</f>
        <v>1</v>
      </c>
    </row>
    <row r="24" spans="1:12" ht="12" x14ac:dyDescent="0.2">
      <c r="A24" s="33" t="s">
        <v>79</v>
      </c>
      <c r="B24" s="33" t="s">
        <v>160</v>
      </c>
      <c r="C24" s="33" t="s">
        <v>192</v>
      </c>
      <c r="D24" s="33" t="s">
        <v>23</v>
      </c>
      <c r="E24" s="33" t="s">
        <v>211</v>
      </c>
      <c r="F24" s="35">
        <v>1</v>
      </c>
      <c r="G24" s="20" t="str">
        <f>vest(DB[[#This Row],[DESCRICAO]],2)</f>
        <v>CALCA JEANS</v>
      </c>
      <c r="H24" s="20" t="str">
        <f>CORTE(DB[[#This Row],[DESCRICAO]])</f>
        <v>PANTYN</v>
      </c>
      <c r="I24" s="20" t="s">
        <v>47</v>
      </c>
      <c r="J24" s="20">
        <f>SUBTOTAL(103,DB[[#This Row],[SALDO]])</f>
        <v>1</v>
      </c>
      <c r="L24" s="20">
        <f>SUBTOTAL(103,DB[[#This Row],[SALDO]])*DB[[#This Row],[SALDO]]</f>
        <v>1</v>
      </c>
    </row>
    <row r="25" spans="1:12" ht="12" x14ac:dyDescent="0.2">
      <c r="A25" s="33" t="s">
        <v>80</v>
      </c>
      <c r="B25" s="33" t="s">
        <v>160</v>
      </c>
      <c r="C25" s="33" t="s">
        <v>192</v>
      </c>
      <c r="D25" s="33" t="s">
        <v>23</v>
      </c>
      <c r="E25" s="33" t="s">
        <v>213</v>
      </c>
      <c r="F25" s="35">
        <v>1</v>
      </c>
      <c r="G25" s="20" t="str">
        <f>vest(DB[[#This Row],[DESCRICAO]],2)</f>
        <v>CALCA JEANS</v>
      </c>
      <c r="H25" s="20" t="str">
        <f>CORTE(DB[[#This Row],[DESCRICAO]])</f>
        <v>PANTYN</v>
      </c>
      <c r="I25" s="20" t="s">
        <v>47</v>
      </c>
      <c r="J25" s="20">
        <f>SUBTOTAL(103,DB[[#This Row],[SALDO]])</f>
        <v>1</v>
      </c>
      <c r="L25" s="20">
        <f>SUBTOTAL(103,DB[[#This Row],[SALDO]])*DB[[#This Row],[SALDO]]</f>
        <v>1</v>
      </c>
    </row>
    <row r="26" spans="1:12" ht="12" x14ac:dyDescent="0.2">
      <c r="A26" s="33" t="s">
        <v>81</v>
      </c>
      <c r="B26" s="33" t="s">
        <v>161</v>
      </c>
      <c r="C26" s="33" t="s">
        <v>193</v>
      </c>
      <c r="D26" s="33" t="s">
        <v>21</v>
      </c>
      <c r="E26" s="33" t="s">
        <v>211</v>
      </c>
      <c r="F26" s="35">
        <v>1</v>
      </c>
      <c r="G26" s="20" t="str">
        <f>vest(DB[[#This Row],[DESCRICAO]],2)</f>
        <v>CALCA JEANS</v>
      </c>
      <c r="H26" s="20" t="str">
        <f>CORTE(DB[[#This Row],[DESCRICAO]])</f>
        <v>SLIMMY</v>
      </c>
      <c r="I26" s="20" t="s">
        <v>47</v>
      </c>
      <c r="J26" s="20">
        <f>SUBTOTAL(103,DB[[#This Row],[SALDO]])</f>
        <v>1</v>
      </c>
      <c r="L26" s="20">
        <f>SUBTOTAL(103,DB[[#This Row],[SALDO]])*DB[[#This Row],[SALDO]]</f>
        <v>1</v>
      </c>
    </row>
    <row r="27" spans="1:12" ht="12" x14ac:dyDescent="0.2">
      <c r="A27" s="33" t="s">
        <v>82</v>
      </c>
      <c r="B27" s="33" t="s">
        <v>161</v>
      </c>
      <c r="C27" s="33" t="s">
        <v>193</v>
      </c>
      <c r="D27" s="33" t="s">
        <v>21</v>
      </c>
      <c r="E27" s="33" t="s">
        <v>217</v>
      </c>
      <c r="F27" s="35">
        <v>1</v>
      </c>
      <c r="G27" s="20" t="str">
        <f>vest(DB[[#This Row],[DESCRICAO]],2)</f>
        <v>CALCA JEANS</v>
      </c>
      <c r="H27" s="20" t="str">
        <f>CORTE(DB[[#This Row],[DESCRICAO]])</f>
        <v>SLIMMY</v>
      </c>
      <c r="I27" s="20" t="s">
        <v>47</v>
      </c>
      <c r="J27" s="20">
        <f>SUBTOTAL(103,DB[[#This Row],[SALDO]])</f>
        <v>1</v>
      </c>
      <c r="L27" s="20">
        <f>SUBTOTAL(103,DB[[#This Row],[SALDO]])*DB[[#This Row],[SALDO]]</f>
        <v>1</v>
      </c>
    </row>
    <row r="28" spans="1:12" ht="12" x14ac:dyDescent="0.2">
      <c r="A28" s="33" t="s">
        <v>83</v>
      </c>
      <c r="B28" s="33" t="s">
        <v>162</v>
      </c>
      <c r="C28" s="33" t="s">
        <v>194</v>
      </c>
      <c r="D28" s="33" t="s">
        <v>21</v>
      </c>
      <c r="E28" s="33" t="s">
        <v>211</v>
      </c>
      <c r="F28" s="35">
        <v>1</v>
      </c>
      <c r="G28" s="20" t="str">
        <f>vest(DB[[#This Row],[DESCRICAO]] &amp; " " &amp;DB[[#This Row],[COR]],2)</f>
        <v>CALCA JEANS</v>
      </c>
      <c r="H28" s="20" t="str">
        <f>CORTE(DB[[#This Row],[DESCRICAO]])</f>
        <v>SLIMMY</v>
      </c>
      <c r="I28" s="20" t="s">
        <v>47</v>
      </c>
      <c r="J28" s="20">
        <f>SUBTOTAL(103,DB[[#This Row],[SALDO]])</f>
        <v>1</v>
      </c>
      <c r="L28" s="20">
        <f>SUBTOTAL(103,DB[[#This Row],[SALDO]])*DB[[#This Row],[SALDO]]</f>
        <v>1</v>
      </c>
    </row>
    <row r="29" spans="1:12" ht="12" x14ac:dyDescent="0.2">
      <c r="A29" s="33" t="s">
        <v>84</v>
      </c>
      <c r="B29" s="33" t="s">
        <v>163</v>
      </c>
      <c r="C29" s="33" t="s">
        <v>195</v>
      </c>
      <c r="D29" s="33" t="s">
        <v>15</v>
      </c>
      <c r="E29" s="33" t="s">
        <v>211</v>
      </c>
      <c r="F29" s="35">
        <v>1</v>
      </c>
      <c r="G29" s="20" t="str">
        <f>vest(DB[[#This Row],[DESCRICAO]] &amp; " " &amp;DB[[#This Row],[COR]],2)</f>
        <v>CALCA</v>
      </c>
      <c r="H29" s="20" t="str">
        <f>CORTE(DB[[#This Row],[DESCRICAO]])</f>
        <v>COLOR</v>
      </c>
      <c r="I29" s="20" t="s">
        <v>47</v>
      </c>
      <c r="J29" s="20">
        <f>SUBTOTAL(103,DB[[#This Row],[SALDO]])</f>
        <v>1</v>
      </c>
      <c r="L29" s="20">
        <f>SUBTOTAL(103,DB[[#This Row],[SALDO]])*DB[[#This Row],[SALDO]]</f>
        <v>1</v>
      </c>
    </row>
    <row r="30" spans="1:12" ht="12" x14ac:dyDescent="0.2">
      <c r="A30" s="33" t="s">
        <v>85</v>
      </c>
      <c r="B30" s="33" t="s">
        <v>164</v>
      </c>
      <c r="C30" s="33" t="s">
        <v>196</v>
      </c>
      <c r="D30" s="33" t="s">
        <v>21</v>
      </c>
      <c r="E30" s="33" t="s">
        <v>213</v>
      </c>
      <c r="F30" s="35">
        <v>1</v>
      </c>
      <c r="G30" s="20" t="str">
        <f>vest(DB[[#This Row],[DESCRICAO]] &amp; " " &amp;DB[[#This Row],[COR]],2)</f>
        <v>CALCA JEANS</v>
      </c>
      <c r="H30" s="20" t="str">
        <f>CORTE(DB[[#This Row],[DESCRICAO]])</f>
        <v>PAXTYN</v>
      </c>
      <c r="I30" s="20" t="s">
        <v>47</v>
      </c>
      <c r="J30" s="20">
        <f>SUBTOTAL(103,DB[[#This Row],[SALDO]])</f>
        <v>1</v>
      </c>
      <c r="L30" s="20">
        <f>SUBTOTAL(103,DB[[#This Row],[SALDO]])*DB[[#This Row],[SALDO]]</f>
        <v>1</v>
      </c>
    </row>
    <row r="31" spans="1:12" ht="12" x14ac:dyDescent="0.2">
      <c r="A31" s="33" t="s">
        <v>86</v>
      </c>
      <c r="B31" s="33" t="s">
        <v>164</v>
      </c>
      <c r="C31" s="33" t="s">
        <v>196</v>
      </c>
      <c r="D31" s="33" t="s">
        <v>21</v>
      </c>
      <c r="E31" s="33" t="s">
        <v>214</v>
      </c>
      <c r="F31" s="35">
        <v>1</v>
      </c>
      <c r="G31" s="20" t="str">
        <f>vest(DB[[#This Row],[DESCRICAO]] &amp; " " &amp;DB[[#This Row],[COR]],2)</f>
        <v>CALCA JEANS</v>
      </c>
      <c r="H31" s="20" t="str">
        <f>CORTE(DB[[#This Row],[DESCRICAO]])</f>
        <v>PAXTYN</v>
      </c>
      <c r="I31" s="20" t="s">
        <v>47</v>
      </c>
      <c r="J31" s="20">
        <f>SUBTOTAL(103,DB[[#This Row],[SALDO]])</f>
        <v>1</v>
      </c>
      <c r="L31" s="20">
        <f>SUBTOTAL(103,DB[[#This Row],[SALDO]])*DB[[#This Row],[SALDO]]</f>
        <v>1</v>
      </c>
    </row>
    <row r="32" spans="1:12" ht="12" x14ac:dyDescent="0.2">
      <c r="A32" s="33" t="s">
        <v>87</v>
      </c>
      <c r="B32" s="33" t="s">
        <v>164</v>
      </c>
      <c r="C32" s="33" t="s">
        <v>196</v>
      </c>
      <c r="D32" s="33" t="s">
        <v>21</v>
      </c>
      <c r="E32" s="33" t="s">
        <v>215</v>
      </c>
      <c r="F32" s="35">
        <v>1</v>
      </c>
      <c r="G32" s="20" t="str">
        <f>vest(DB[[#This Row],[DESCRICAO]] &amp; " " &amp;DB[[#This Row],[COR]],2)</f>
        <v>CALCA JEANS</v>
      </c>
      <c r="H32" s="20" t="str">
        <f>CORTE(DB[[#This Row],[DESCRICAO]])</f>
        <v>PAXTYN</v>
      </c>
      <c r="I32" s="20" t="s">
        <v>47</v>
      </c>
      <c r="J32" s="20">
        <f>SUBTOTAL(103,DB[[#This Row],[SALDO]])</f>
        <v>1</v>
      </c>
      <c r="L32" s="20">
        <f>SUBTOTAL(103,DB[[#This Row],[SALDO]])*DB[[#This Row],[SALDO]]</f>
        <v>1</v>
      </c>
    </row>
    <row r="33" spans="1:12" ht="12" x14ac:dyDescent="0.2">
      <c r="A33" s="33" t="s">
        <v>88</v>
      </c>
      <c r="B33" s="33" t="s">
        <v>165</v>
      </c>
      <c r="C33" s="33" t="s">
        <v>197</v>
      </c>
      <c r="D33" s="33" t="s">
        <v>23</v>
      </c>
      <c r="E33" s="33" t="s">
        <v>212</v>
      </c>
      <c r="F33" s="35">
        <v>2</v>
      </c>
      <c r="G33" s="20" t="str">
        <f>vest(DB[[#This Row],[DESCRICAO]] &amp; " " &amp;DB[[#This Row],[COR]],2)</f>
        <v>CALCA JEANS</v>
      </c>
      <c r="H33" s="20" t="str">
        <f>CORTE(DB[[#This Row],[DESCRICAO]])</f>
        <v>SLIMMY</v>
      </c>
      <c r="I33" s="20" t="s">
        <v>47</v>
      </c>
      <c r="J33" s="20">
        <f>SUBTOTAL(103,DB[[#This Row],[SALDO]])</f>
        <v>1</v>
      </c>
      <c r="L33" s="20">
        <f>SUBTOTAL(103,DB[[#This Row],[SALDO]])*DB[[#This Row],[SALDO]]</f>
        <v>2</v>
      </c>
    </row>
    <row r="34" spans="1:12" ht="12" x14ac:dyDescent="0.2">
      <c r="A34" s="33" t="s">
        <v>89</v>
      </c>
      <c r="B34" s="33" t="s">
        <v>165</v>
      </c>
      <c r="C34" s="33" t="s">
        <v>197</v>
      </c>
      <c r="D34" s="33" t="s">
        <v>23</v>
      </c>
      <c r="E34" s="33" t="s">
        <v>213</v>
      </c>
      <c r="F34" s="35">
        <v>2</v>
      </c>
      <c r="G34" s="20" t="str">
        <f>vest(DB[[#This Row],[DESCRICAO]] &amp; " " &amp;DB[[#This Row],[COR]],2)</f>
        <v>CALCA JEANS</v>
      </c>
      <c r="H34" s="20" t="str">
        <f>CORTE(DB[[#This Row],[DESCRICAO]])</f>
        <v>SLIMMY</v>
      </c>
      <c r="I34" s="20" t="s">
        <v>47</v>
      </c>
      <c r="J34" s="20">
        <f>SUBTOTAL(103,DB[[#This Row],[SALDO]])</f>
        <v>1</v>
      </c>
      <c r="L34" s="20">
        <f>SUBTOTAL(103,DB[[#This Row],[SALDO]])*DB[[#This Row],[SALDO]]</f>
        <v>2</v>
      </c>
    </row>
    <row r="35" spans="1:12" ht="12" x14ac:dyDescent="0.2">
      <c r="A35" s="33" t="s">
        <v>90</v>
      </c>
      <c r="B35" s="33" t="s">
        <v>165</v>
      </c>
      <c r="C35" s="33" t="s">
        <v>197</v>
      </c>
      <c r="D35" s="33" t="s">
        <v>23</v>
      </c>
      <c r="E35" s="33" t="s">
        <v>220</v>
      </c>
      <c r="F35" s="35">
        <v>1</v>
      </c>
      <c r="G35" s="20" t="str">
        <f>vest(DB[[#This Row],[DESCRICAO]] &amp; " " &amp;DB[[#This Row],[COR]],2)</f>
        <v>CALCA JEANS</v>
      </c>
      <c r="H35" s="20" t="str">
        <f>CORTE(DB[[#This Row],[DESCRICAO]])</f>
        <v>SLIMMY</v>
      </c>
      <c r="I35" s="20" t="s">
        <v>47</v>
      </c>
      <c r="J35" s="20">
        <f>SUBTOTAL(103,DB[[#This Row],[SALDO]])</f>
        <v>1</v>
      </c>
      <c r="L35" s="20">
        <f>SUBTOTAL(103,DB[[#This Row],[SALDO]])*DB[[#This Row],[SALDO]]</f>
        <v>1</v>
      </c>
    </row>
    <row r="36" spans="1:12" ht="12" x14ac:dyDescent="0.2">
      <c r="A36" s="33" t="s">
        <v>91</v>
      </c>
      <c r="B36" s="33" t="s">
        <v>165</v>
      </c>
      <c r="C36" s="33" t="s">
        <v>197</v>
      </c>
      <c r="D36" s="33" t="s">
        <v>23</v>
      </c>
      <c r="E36" s="33" t="s">
        <v>217</v>
      </c>
      <c r="F36" s="35">
        <v>2</v>
      </c>
      <c r="G36" s="20" t="str">
        <f>vest(DB[[#This Row],[DESCRICAO]] &amp; " " &amp;DB[[#This Row],[COR]],2)</f>
        <v>CALCA JEANS</v>
      </c>
      <c r="H36" s="20" t="str">
        <f>CORTE(DB[[#This Row],[DESCRICAO]])</f>
        <v>SLIMMY</v>
      </c>
      <c r="I36" s="20" t="s">
        <v>47</v>
      </c>
      <c r="J36" s="20">
        <f>SUBTOTAL(103,DB[[#This Row],[SALDO]])</f>
        <v>1</v>
      </c>
      <c r="L36" s="20">
        <f>SUBTOTAL(103,DB[[#This Row],[SALDO]])*DB[[#This Row],[SALDO]]</f>
        <v>2</v>
      </c>
    </row>
    <row r="37" spans="1:12" ht="12" x14ac:dyDescent="0.2">
      <c r="A37" s="33" t="s">
        <v>92</v>
      </c>
      <c r="B37" s="33" t="s">
        <v>165</v>
      </c>
      <c r="C37" s="33" t="s">
        <v>197</v>
      </c>
      <c r="D37" s="33" t="s">
        <v>23</v>
      </c>
      <c r="E37" s="33" t="s">
        <v>214</v>
      </c>
      <c r="F37" s="35">
        <v>1</v>
      </c>
      <c r="G37" s="20" t="str">
        <f>vest(DB[[#This Row],[DESCRICAO]] &amp; " " &amp;DB[[#This Row],[COR]],2)</f>
        <v>CALCA JEANS</v>
      </c>
      <c r="H37" s="20" t="str">
        <f>CORTE(DB[[#This Row],[DESCRICAO]])</f>
        <v>SLIMMY</v>
      </c>
      <c r="I37" s="20" t="s">
        <v>47</v>
      </c>
      <c r="J37" s="20">
        <f>SUBTOTAL(103,DB[[#This Row],[SALDO]])</f>
        <v>1</v>
      </c>
      <c r="L37" s="20">
        <f>SUBTOTAL(103,DB[[#This Row],[SALDO]])*DB[[#This Row],[SALDO]]</f>
        <v>1</v>
      </c>
    </row>
    <row r="38" spans="1:12" ht="12" x14ac:dyDescent="0.2">
      <c r="A38" s="33" t="s">
        <v>93</v>
      </c>
      <c r="B38" s="33" t="s">
        <v>166</v>
      </c>
      <c r="C38" s="33" t="s">
        <v>198</v>
      </c>
      <c r="D38" s="33" t="s">
        <v>21</v>
      </c>
      <c r="E38" s="33" t="s">
        <v>212</v>
      </c>
      <c r="F38" s="35">
        <v>4</v>
      </c>
      <c r="G38" s="20" t="str">
        <f>vest(DB[[#This Row],[DESCRICAO]] &amp; " " &amp;DB[[#This Row],[COR]],2)</f>
        <v>CALCA JEANS</v>
      </c>
      <c r="H38" s="20" t="str">
        <f>CORTE(DB[[#This Row],[DESCRICAO]])</f>
        <v>SLIMMY</v>
      </c>
      <c r="I38" s="20" t="s">
        <v>47</v>
      </c>
      <c r="J38" s="20">
        <f>SUBTOTAL(103,DB[[#This Row],[SALDO]])</f>
        <v>1</v>
      </c>
      <c r="L38" s="20">
        <f>SUBTOTAL(103,DB[[#This Row],[SALDO]])*DB[[#This Row],[SALDO]]</f>
        <v>4</v>
      </c>
    </row>
    <row r="39" spans="1:12" ht="12" x14ac:dyDescent="0.2">
      <c r="A39" s="33" t="s">
        <v>94</v>
      </c>
      <c r="B39" s="33" t="s">
        <v>166</v>
      </c>
      <c r="C39" s="33" t="s">
        <v>198</v>
      </c>
      <c r="D39" s="33" t="s">
        <v>21</v>
      </c>
      <c r="E39" s="33" t="s">
        <v>213</v>
      </c>
      <c r="F39" s="35">
        <v>2</v>
      </c>
      <c r="G39" s="20" t="str">
        <f>vest(DB[[#This Row],[DESCRICAO]] &amp; " " &amp;DB[[#This Row],[COR]],2)</f>
        <v>CALCA JEANS</v>
      </c>
      <c r="H39" s="20" t="str">
        <f>CORTE(DB[[#This Row],[DESCRICAO]])</f>
        <v>SLIMMY</v>
      </c>
      <c r="I39" s="20" t="s">
        <v>47</v>
      </c>
      <c r="J39" s="20">
        <f>SUBTOTAL(103,DB[[#This Row],[SALDO]])</f>
        <v>1</v>
      </c>
      <c r="L39" s="20">
        <f>SUBTOTAL(103,DB[[#This Row],[SALDO]])*DB[[#This Row],[SALDO]]</f>
        <v>2</v>
      </c>
    </row>
    <row r="40" spans="1:12" ht="12" x14ac:dyDescent="0.2">
      <c r="A40" s="33" t="s">
        <v>95</v>
      </c>
      <c r="B40" s="33" t="s">
        <v>166</v>
      </c>
      <c r="C40" s="33" t="s">
        <v>198</v>
      </c>
      <c r="D40" s="33" t="s">
        <v>21</v>
      </c>
      <c r="E40" s="33" t="s">
        <v>220</v>
      </c>
      <c r="F40" s="35">
        <v>4</v>
      </c>
      <c r="G40" s="20" t="str">
        <f>vest(DB[[#This Row],[DESCRICAO]] &amp; " " &amp;DB[[#This Row],[COR]],2)</f>
        <v>CALCA JEANS</v>
      </c>
      <c r="H40" s="20" t="str">
        <f>CORTE(DB[[#This Row],[DESCRICAO]])</f>
        <v>SLIMMY</v>
      </c>
      <c r="I40" s="20" t="s">
        <v>47</v>
      </c>
      <c r="J40" s="20">
        <f>SUBTOTAL(103,DB[[#This Row],[SALDO]])</f>
        <v>1</v>
      </c>
      <c r="L40" s="20">
        <f>SUBTOTAL(103,DB[[#This Row],[SALDO]])*DB[[#This Row],[SALDO]]</f>
        <v>4</v>
      </c>
    </row>
    <row r="41" spans="1:12" ht="12" x14ac:dyDescent="0.2">
      <c r="A41" s="33" t="s">
        <v>96</v>
      </c>
      <c r="B41" s="33" t="s">
        <v>166</v>
      </c>
      <c r="C41" s="33" t="s">
        <v>198</v>
      </c>
      <c r="D41" s="33" t="s">
        <v>21</v>
      </c>
      <c r="E41" s="33" t="s">
        <v>217</v>
      </c>
      <c r="F41" s="35">
        <v>1</v>
      </c>
      <c r="G41" s="20" t="str">
        <f>vest(DB[[#This Row],[DESCRICAO]] &amp; " " &amp;DB[[#This Row],[COR]],2)</f>
        <v>CALCA JEANS</v>
      </c>
      <c r="H41" s="20" t="str">
        <f>CORTE(DB[[#This Row],[DESCRICAO]])</f>
        <v>SLIMMY</v>
      </c>
      <c r="I41" s="20" t="s">
        <v>47</v>
      </c>
      <c r="J41" s="20">
        <f>SUBTOTAL(103,DB[[#This Row],[SALDO]])</f>
        <v>1</v>
      </c>
      <c r="L41" s="20">
        <f>SUBTOTAL(103,DB[[#This Row],[SALDO]])*DB[[#This Row],[SALDO]]</f>
        <v>1</v>
      </c>
    </row>
    <row r="42" spans="1:12" ht="12" x14ac:dyDescent="0.2">
      <c r="A42" s="33" t="s">
        <v>97</v>
      </c>
      <c r="B42" s="33" t="s">
        <v>166</v>
      </c>
      <c r="C42" s="33" t="s">
        <v>198</v>
      </c>
      <c r="D42" s="33" t="s">
        <v>21</v>
      </c>
      <c r="E42" s="33" t="s">
        <v>214</v>
      </c>
      <c r="F42" s="35">
        <v>1</v>
      </c>
      <c r="G42" s="20" t="str">
        <f>vest(DB[[#This Row],[DESCRICAO]] &amp; " " &amp;DB[[#This Row],[COR]],2)</f>
        <v>CALCA JEANS</v>
      </c>
      <c r="H42" s="20" t="str">
        <f>CORTE(DB[[#This Row],[DESCRICAO]])</f>
        <v>SLIMMY</v>
      </c>
      <c r="I42" s="20" t="s">
        <v>47</v>
      </c>
      <c r="J42" s="20">
        <f>SUBTOTAL(103,DB[[#This Row],[SALDO]])</f>
        <v>1</v>
      </c>
      <c r="L42" s="20">
        <f>SUBTOTAL(103,DB[[#This Row],[SALDO]])*DB[[#This Row],[SALDO]]</f>
        <v>1</v>
      </c>
    </row>
    <row r="43" spans="1:12" ht="12" x14ac:dyDescent="0.2">
      <c r="A43" s="33" t="s">
        <v>98</v>
      </c>
      <c r="B43" s="33" t="s">
        <v>166</v>
      </c>
      <c r="C43" s="33" t="s">
        <v>198</v>
      </c>
      <c r="D43" s="33" t="s">
        <v>21</v>
      </c>
      <c r="E43" s="33" t="s">
        <v>215</v>
      </c>
      <c r="F43" s="35">
        <v>1</v>
      </c>
      <c r="G43" s="20" t="str">
        <f>vest(DB[[#This Row],[DESCRICAO]] &amp; " " &amp;DB[[#This Row],[COR]],2)</f>
        <v>CALCA JEANS</v>
      </c>
      <c r="H43" s="20" t="str">
        <f>CORTE(DB[[#This Row],[DESCRICAO]])</f>
        <v>SLIMMY</v>
      </c>
      <c r="I43" s="20" t="s">
        <v>47</v>
      </c>
      <c r="J43" s="20">
        <f>SUBTOTAL(103,DB[[#This Row],[SALDO]])</f>
        <v>1</v>
      </c>
      <c r="L43" s="20">
        <f>SUBTOTAL(103,DB[[#This Row],[SALDO]])*DB[[#This Row],[SALDO]]</f>
        <v>1</v>
      </c>
    </row>
    <row r="44" spans="1:12" ht="12" x14ac:dyDescent="0.2">
      <c r="A44" s="33" t="s">
        <v>99</v>
      </c>
      <c r="B44" s="33" t="s">
        <v>167</v>
      </c>
      <c r="C44" s="33" t="s">
        <v>199</v>
      </c>
      <c r="D44" s="33" t="s">
        <v>21</v>
      </c>
      <c r="E44" s="33" t="s">
        <v>219</v>
      </c>
      <c r="F44" s="35">
        <v>2</v>
      </c>
      <c r="G44" s="20" t="str">
        <f>vest(DB[[#This Row],[DESCRICAO]] &amp; " " &amp;DB[[#This Row],[COR]],2)</f>
        <v>CALCA JEANS</v>
      </c>
      <c r="H44" s="20" t="str">
        <f>CORTE(DB[[#This Row],[DESCRICAO]])</f>
        <v>SLIMMY</v>
      </c>
      <c r="I44" s="20" t="s">
        <v>47</v>
      </c>
      <c r="J44" s="20">
        <f>SUBTOTAL(103,DB[[#This Row],[SALDO]])</f>
        <v>1</v>
      </c>
      <c r="L44" s="20">
        <f>SUBTOTAL(103,DB[[#This Row],[SALDO]])*DB[[#This Row],[SALDO]]</f>
        <v>2</v>
      </c>
    </row>
    <row r="45" spans="1:12" ht="12" x14ac:dyDescent="0.2">
      <c r="A45" s="33" t="s">
        <v>100</v>
      </c>
      <c r="B45" s="33" t="s">
        <v>167</v>
      </c>
      <c r="C45" s="33" t="s">
        <v>199</v>
      </c>
      <c r="D45" s="33" t="s">
        <v>21</v>
      </c>
      <c r="E45" s="33" t="s">
        <v>211</v>
      </c>
      <c r="F45" s="35">
        <v>2</v>
      </c>
      <c r="G45" s="20" t="str">
        <f>vest(DB[[#This Row],[DESCRICAO]] &amp; " " &amp;DB[[#This Row],[COR]],2)</f>
        <v>CALCA JEANS</v>
      </c>
      <c r="H45" s="20" t="str">
        <f>CORTE(DB[[#This Row],[DESCRICAO]])</f>
        <v>SLIMMY</v>
      </c>
      <c r="I45" s="20" t="s">
        <v>47</v>
      </c>
      <c r="J45" s="20">
        <f>SUBTOTAL(103,DB[[#This Row],[SALDO]])</f>
        <v>1</v>
      </c>
      <c r="L45" s="20">
        <f>SUBTOTAL(103,DB[[#This Row],[SALDO]])*DB[[#This Row],[SALDO]]</f>
        <v>2</v>
      </c>
    </row>
    <row r="46" spans="1:12" ht="12" x14ac:dyDescent="0.2">
      <c r="A46" s="33" t="s">
        <v>101</v>
      </c>
      <c r="B46" s="33" t="s">
        <v>167</v>
      </c>
      <c r="C46" s="33" t="s">
        <v>199</v>
      </c>
      <c r="D46" s="33" t="s">
        <v>21</v>
      </c>
      <c r="E46" s="33" t="s">
        <v>212</v>
      </c>
      <c r="F46" s="35">
        <v>1</v>
      </c>
      <c r="G46" s="20" t="str">
        <f>vest(DB[[#This Row],[DESCRICAO]] &amp; " " &amp;DB[[#This Row],[COR]],2)</f>
        <v>CALCA JEANS</v>
      </c>
      <c r="H46" s="20" t="str">
        <f>CORTE(DB[[#This Row],[DESCRICAO]])</f>
        <v>SLIMMY</v>
      </c>
      <c r="I46" s="20" t="s">
        <v>47</v>
      </c>
      <c r="J46" s="20">
        <f>SUBTOTAL(103,DB[[#This Row],[SALDO]])</f>
        <v>1</v>
      </c>
      <c r="L46" s="20">
        <f>SUBTOTAL(103,DB[[#This Row],[SALDO]])*DB[[#This Row],[SALDO]]</f>
        <v>1</v>
      </c>
    </row>
    <row r="47" spans="1:12" ht="12" x14ac:dyDescent="0.2">
      <c r="A47" s="33" t="s">
        <v>102</v>
      </c>
      <c r="B47" s="33" t="s">
        <v>167</v>
      </c>
      <c r="C47" s="33" t="s">
        <v>199</v>
      </c>
      <c r="D47" s="33" t="s">
        <v>21</v>
      </c>
      <c r="E47" s="33" t="s">
        <v>217</v>
      </c>
      <c r="F47" s="35">
        <v>1</v>
      </c>
      <c r="G47" s="20" t="str">
        <f>vest(DB[[#This Row],[DESCRICAO]] &amp; " " &amp;DB[[#This Row],[COR]],2)</f>
        <v>CALCA JEANS</v>
      </c>
      <c r="H47" s="20" t="str">
        <f>CORTE(DB[[#This Row],[DESCRICAO]])</f>
        <v>SLIMMY</v>
      </c>
      <c r="I47" s="20" t="s">
        <v>47</v>
      </c>
      <c r="J47" s="20">
        <f>SUBTOTAL(103,DB[[#This Row],[SALDO]])</f>
        <v>1</v>
      </c>
      <c r="L47" s="20">
        <f>SUBTOTAL(103,DB[[#This Row],[SALDO]])*DB[[#This Row],[SALDO]]</f>
        <v>1</v>
      </c>
    </row>
    <row r="48" spans="1:12" ht="12" x14ac:dyDescent="0.2">
      <c r="A48" s="33" t="s">
        <v>103</v>
      </c>
      <c r="B48" s="33" t="s">
        <v>167</v>
      </c>
      <c r="C48" s="33" t="s">
        <v>199</v>
      </c>
      <c r="D48" s="33" t="s">
        <v>21</v>
      </c>
      <c r="E48" s="33" t="s">
        <v>214</v>
      </c>
      <c r="F48" s="35">
        <v>2</v>
      </c>
      <c r="G48" s="20" t="str">
        <f>vest(DB[[#This Row],[DESCRICAO]] &amp; " " &amp;DB[[#This Row],[COR]],2)</f>
        <v>CALCA JEANS</v>
      </c>
      <c r="H48" s="20" t="str">
        <f>CORTE(DB[[#This Row],[DESCRICAO]])</f>
        <v>SLIMMY</v>
      </c>
      <c r="I48" s="20" t="s">
        <v>47</v>
      </c>
      <c r="J48" s="20">
        <f>SUBTOTAL(103,DB[[#This Row],[SALDO]])</f>
        <v>1</v>
      </c>
      <c r="L48" s="20">
        <f>SUBTOTAL(103,DB[[#This Row],[SALDO]])*DB[[#This Row],[SALDO]]</f>
        <v>2</v>
      </c>
    </row>
    <row r="49" spans="1:12" ht="12" x14ac:dyDescent="0.2">
      <c r="A49" s="33" t="s">
        <v>104</v>
      </c>
      <c r="B49" s="33" t="s">
        <v>167</v>
      </c>
      <c r="C49" s="33" t="s">
        <v>199</v>
      </c>
      <c r="D49" s="33" t="s">
        <v>21</v>
      </c>
      <c r="E49" s="33" t="s">
        <v>215</v>
      </c>
      <c r="F49" s="35">
        <v>1</v>
      </c>
      <c r="G49" s="20" t="str">
        <f>vest(DB[[#This Row],[DESCRICAO]] &amp; " " &amp;DB[[#This Row],[COR]],2)</f>
        <v>CALCA JEANS</v>
      </c>
      <c r="H49" s="20" t="str">
        <f>CORTE(DB[[#This Row],[DESCRICAO]])</f>
        <v>SLIMMY</v>
      </c>
      <c r="I49" s="20" t="s">
        <v>47</v>
      </c>
      <c r="J49" s="20">
        <f>SUBTOTAL(103,DB[[#This Row],[SALDO]])</f>
        <v>1</v>
      </c>
      <c r="L49" s="20">
        <f>SUBTOTAL(103,DB[[#This Row],[SALDO]])*DB[[#This Row],[SALDO]]</f>
        <v>1</v>
      </c>
    </row>
    <row r="50" spans="1:12" ht="12" x14ac:dyDescent="0.2">
      <c r="A50" s="33" t="s">
        <v>105</v>
      </c>
      <c r="B50" s="33" t="s">
        <v>167</v>
      </c>
      <c r="C50" s="33" t="s">
        <v>199</v>
      </c>
      <c r="D50" s="33" t="s">
        <v>21</v>
      </c>
      <c r="E50" s="33" t="s">
        <v>216</v>
      </c>
      <c r="F50" s="35">
        <v>1</v>
      </c>
      <c r="G50" s="20" t="str">
        <f>vest(DB[[#This Row],[DESCRICAO]] &amp; " " &amp;DB[[#This Row],[COR]],2)</f>
        <v>CALCA JEANS</v>
      </c>
      <c r="H50" s="20" t="str">
        <f>CORTE(DB[[#This Row],[DESCRICAO]])</f>
        <v>SLIMMY</v>
      </c>
      <c r="I50" s="20" t="s">
        <v>47</v>
      </c>
      <c r="J50" s="20">
        <f>SUBTOTAL(103,DB[[#This Row],[SALDO]])</f>
        <v>1</v>
      </c>
      <c r="L50" s="20">
        <f>SUBTOTAL(103,DB[[#This Row],[SALDO]])*DB[[#This Row],[SALDO]]</f>
        <v>1</v>
      </c>
    </row>
    <row r="51" spans="1:12" ht="12" x14ac:dyDescent="0.2">
      <c r="A51" s="33" t="s">
        <v>106</v>
      </c>
      <c r="B51" s="33" t="s">
        <v>168</v>
      </c>
      <c r="C51" s="33" t="s">
        <v>200</v>
      </c>
      <c r="D51" s="33" t="s">
        <v>23</v>
      </c>
      <c r="E51" s="33" t="s">
        <v>212</v>
      </c>
      <c r="F51" s="35">
        <v>1</v>
      </c>
      <c r="G51" s="20" t="str">
        <f>vest(DB[[#This Row],[DESCRICAO]],2)</f>
        <v>CALCA JEANS</v>
      </c>
      <c r="H51" s="20" t="str">
        <f>CORTE(DB[[#This Row],[DESCRICAO]])</f>
        <v>SLIMMY</v>
      </c>
      <c r="I51" s="20" t="s">
        <v>47</v>
      </c>
      <c r="J51" s="20">
        <f>SUBTOTAL(103,DB[[#This Row],[SALDO]])</f>
        <v>1</v>
      </c>
      <c r="L51" s="20">
        <f>SUBTOTAL(103,DB[[#This Row],[SALDO]])*DB[[#This Row],[SALDO]]</f>
        <v>1</v>
      </c>
    </row>
    <row r="52" spans="1:12" ht="12" x14ac:dyDescent="0.2">
      <c r="A52" s="33" t="s">
        <v>107</v>
      </c>
      <c r="B52" s="33" t="s">
        <v>159</v>
      </c>
      <c r="C52" s="33" t="s">
        <v>191</v>
      </c>
      <c r="D52" s="33" t="s">
        <v>14</v>
      </c>
      <c r="E52" s="33" t="s">
        <v>220</v>
      </c>
      <c r="F52" s="35">
        <v>1</v>
      </c>
      <c r="G52" s="20" t="str">
        <f>vest(DB[[#This Row],[DESCRICAO]],2)</f>
        <v>CALCA CHINO</v>
      </c>
      <c r="H52" s="20" t="str">
        <f>CORTE(DB[[#This Row],[DESCRICAO]])</f>
        <v>CHINO</v>
      </c>
      <c r="I52" s="20" t="s">
        <v>47</v>
      </c>
      <c r="J52" s="20">
        <f>SUBTOTAL(103,DB[[#This Row],[SALDO]])</f>
        <v>1</v>
      </c>
      <c r="L52" s="20">
        <f>SUBTOTAL(103,DB[[#This Row],[SALDO]])*DB[[#This Row],[SALDO]]</f>
        <v>1</v>
      </c>
    </row>
    <row r="53" spans="1:12" ht="12" x14ac:dyDescent="0.2">
      <c r="A53" s="33" t="s">
        <v>108</v>
      </c>
      <c r="B53" s="33" t="s">
        <v>169</v>
      </c>
      <c r="C53" s="33" t="s">
        <v>201</v>
      </c>
      <c r="D53" s="33" t="s">
        <v>55</v>
      </c>
      <c r="E53" s="33" t="s">
        <v>219</v>
      </c>
      <c r="F53" s="35">
        <v>1</v>
      </c>
      <c r="G53" s="20" t="str">
        <f>vest(DB[[#This Row],[DESCRICAO]] &amp; " " &amp;DB[[#This Row],[COR]],2)</f>
        <v>CALCA JEANS</v>
      </c>
      <c r="H53" s="20" t="str">
        <f>CORTE(DB[[#This Row],[DESCRICAO]])</f>
        <v>PAXTYN</v>
      </c>
      <c r="I53" s="20" t="s">
        <v>47</v>
      </c>
      <c r="J53" s="20">
        <f>SUBTOTAL(103,DB[[#This Row],[SALDO]])</f>
        <v>1</v>
      </c>
      <c r="L53" s="20">
        <f>SUBTOTAL(103,DB[[#This Row],[SALDO]])*DB[[#This Row],[SALDO]]</f>
        <v>1</v>
      </c>
    </row>
    <row r="54" spans="1:12" ht="12" x14ac:dyDescent="0.2">
      <c r="A54" s="33" t="s">
        <v>109</v>
      </c>
      <c r="B54" s="33" t="s">
        <v>169</v>
      </c>
      <c r="C54" s="33" t="s">
        <v>201</v>
      </c>
      <c r="D54" s="33" t="s">
        <v>55</v>
      </c>
      <c r="E54" s="33" t="s">
        <v>212</v>
      </c>
      <c r="F54" s="35">
        <v>1</v>
      </c>
      <c r="G54" s="20" t="str">
        <f>vest(DB[[#This Row],[DESCRICAO]] &amp; " " &amp;DB[[#This Row],[COR]],2)</f>
        <v>CALCA JEANS</v>
      </c>
      <c r="H54" s="20" t="str">
        <f>CORTE(DB[[#This Row],[DESCRICAO]])</f>
        <v>PAXTYN</v>
      </c>
      <c r="I54" s="20" t="s">
        <v>47</v>
      </c>
      <c r="J54" s="20">
        <f>SUBTOTAL(103,DB[[#This Row],[SALDO]])</f>
        <v>1</v>
      </c>
      <c r="L54" s="20">
        <f>SUBTOTAL(103,DB[[#This Row],[SALDO]])*DB[[#This Row],[SALDO]]</f>
        <v>1</v>
      </c>
    </row>
    <row r="55" spans="1:12" ht="12" x14ac:dyDescent="0.2">
      <c r="A55" s="33" t="s">
        <v>110</v>
      </c>
      <c r="B55" s="33" t="s">
        <v>169</v>
      </c>
      <c r="C55" s="33" t="s">
        <v>201</v>
      </c>
      <c r="D55" s="33" t="s">
        <v>55</v>
      </c>
      <c r="E55" s="33" t="s">
        <v>213</v>
      </c>
      <c r="F55" s="35">
        <v>1</v>
      </c>
      <c r="G55" s="20" t="str">
        <f>vest(DB[[#This Row],[DESCRICAO]] &amp; " " &amp;DB[[#This Row],[COR]],2)</f>
        <v>CALCA JEANS</v>
      </c>
      <c r="H55" s="20" t="str">
        <f>CORTE(DB[[#This Row],[DESCRICAO]])</f>
        <v>PAXTYN</v>
      </c>
      <c r="I55" s="20" t="s">
        <v>47</v>
      </c>
      <c r="J55" s="20">
        <f>SUBTOTAL(103,DB[[#This Row],[SALDO]])</f>
        <v>1</v>
      </c>
      <c r="L55" s="20">
        <f>SUBTOTAL(103,DB[[#This Row],[SALDO]])*DB[[#This Row],[SALDO]]</f>
        <v>1</v>
      </c>
    </row>
    <row r="56" spans="1:12" ht="12" x14ac:dyDescent="0.2">
      <c r="A56" s="33" t="s">
        <v>111</v>
      </c>
      <c r="B56" s="33" t="s">
        <v>170</v>
      </c>
      <c r="C56" s="33" t="s">
        <v>202</v>
      </c>
      <c r="D56" s="33" t="s">
        <v>23</v>
      </c>
      <c r="E56" s="33" t="s">
        <v>219</v>
      </c>
      <c r="F56" s="35">
        <v>1</v>
      </c>
      <c r="G56" s="20" t="str">
        <f>vest(DB[[#This Row],[DESCRICAO]],2)</f>
        <v>CALCA JEANS</v>
      </c>
      <c r="H56" s="20" t="str">
        <f>CORTE(DB[[#This Row],[DESCRICAO]])</f>
        <v>PAXTYN</v>
      </c>
      <c r="I56" s="20" t="s">
        <v>47</v>
      </c>
      <c r="J56" s="20">
        <f>SUBTOTAL(103,DB[[#This Row],[SALDO]])</f>
        <v>1</v>
      </c>
      <c r="L56" s="20">
        <f>SUBTOTAL(103,DB[[#This Row],[SALDO]])*DB[[#This Row],[SALDO]]</f>
        <v>1</v>
      </c>
    </row>
    <row r="57" spans="1:12" ht="12" x14ac:dyDescent="0.2">
      <c r="A57" s="33" t="s">
        <v>112</v>
      </c>
      <c r="B57" s="33" t="s">
        <v>170</v>
      </c>
      <c r="C57" s="33" t="s">
        <v>202</v>
      </c>
      <c r="D57" s="33" t="s">
        <v>23</v>
      </c>
      <c r="E57" s="33" t="s">
        <v>211</v>
      </c>
      <c r="F57" s="35">
        <v>1</v>
      </c>
      <c r="G57" s="20" t="str">
        <f>vest(DB[[#This Row],[DESCRICAO]],2)</f>
        <v>CALCA JEANS</v>
      </c>
      <c r="H57" s="20" t="str">
        <f>CORTE(DB[[#This Row],[DESCRICAO]])</f>
        <v>PAXTYN</v>
      </c>
      <c r="I57" s="20" t="s">
        <v>47</v>
      </c>
      <c r="J57" s="20">
        <f>SUBTOTAL(103,DB[[#This Row],[SALDO]])</f>
        <v>1</v>
      </c>
      <c r="L57" s="20">
        <f>SUBTOTAL(103,DB[[#This Row],[SALDO]])*DB[[#This Row],[SALDO]]</f>
        <v>1</v>
      </c>
    </row>
    <row r="58" spans="1:12" ht="12" x14ac:dyDescent="0.2">
      <c r="A58" s="33" t="s">
        <v>113</v>
      </c>
      <c r="B58" s="33" t="s">
        <v>170</v>
      </c>
      <c r="C58" s="33" t="s">
        <v>202</v>
      </c>
      <c r="D58" s="33" t="s">
        <v>23</v>
      </c>
      <c r="E58" s="33" t="s">
        <v>220</v>
      </c>
      <c r="F58" s="35">
        <v>1</v>
      </c>
      <c r="G58" s="20" t="str">
        <f>vest(DB[[#This Row],[DESCRICAO]],2)</f>
        <v>CALCA JEANS</v>
      </c>
      <c r="H58" s="20" t="str">
        <f>CORTE(DB[[#This Row],[DESCRICAO]])</f>
        <v>PAXTYN</v>
      </c>
      <c r="I58" s="20" t="s">
        <v>47</v>
      </c>
      <c r="J58" s="20">
        <f>SUBTOTAL(103,DB[[#This Row],[SALDO]])</f>
        <v>1</v>
      </c>
      <c r="L58" s="20">
        <f>SUBTOTAL(103,DB[[#This Row],[SALDO]])*DB[[#This Row],[SALDO]]</f>
        <v>1</v>
      </c>
    </row>
    <row r="59" spans="1:12" ht="12" x14ac:dyDescent="0.2">
      <c r="A59" s="33" t="s">
        <v>114</v>
      </c>
      <c r="B59" s="33" t="s">
        <v>171</v>
      </c>
      <c r="C59" s="33" t="s">
        <v>203</v>
      </c>
      <c r="D59" s="33" t="s">
        <v>23</v>
      </c>
      <c r="E59" s="33" t="s">
        <v>213</v>
      </c>
      <c r="F59" s="35">
        <v>1</v>
      </c>
      <c r="G59" s="20" t="str">
        <f>vest(DB[[#This Row],[DESCRICAO]],2)</f>
        <v>CALCA JEANS</v>
      </c>
      <c r="H59" s="20" t="str">
        <f>CORTE(DB[[#This Row],[DESCRICAO]])</f>
        <v>STANDARD</v>
      </c>
      <c r="I59" s="20" t="s">
        <v>47</v>
      </c>
      <c r="J59" s="20">
        <f>SUBTOTAL(103,DB[[#This Row],[SALDO]])</f>
        <v>1</v>
      </c>
      <c r="L59" s="20">
        <f>SUBTOTAL(103,DB[[#This Row],[SALDO]])*DB[[#This Row],[SALDO]]</f>
        <v>1</v>
      </c>
    </row>
    <row r="60" spans="1:12" ht="12" x14ac:dyDescent="0.2">
      <c r="A60" s="33" t="s">
        <v>115</v>
      </c>
      <c r="B60" s="33" t="s">
        <v>171</v>
      </c>
      <c r="C60" s="33" t="s">
        <v>203</v>
      </c>
      <c r="D60" s="33" t="s">
        <v>23</v>
      </c>
      <c r="E60" s="33" t="s">
        <v>217</v>
      </c>
      <c r="F60" s="35">
        <v>1</v>
      </c>
      <c r="G60" s="20" t="str">
        <f>vest(DB[[#This Row],[DESCRICAO]],2)</f>
        <v>CALCA JEANS</v>
      </c>
      <c r="H60" s="20" t="str">
        <f>CORTE(DB[[#This Row],[DESCRICAO]])</f>
        <v>STANDARD</v>
      </c>
      <c r="I60" s="20" t="s">
        <v>47</v>
      </c>
      <c r="J60" s="20">
        <f>SUBTOTAL(103,DB[[#This Row],[SALDO]])</f>
        <v>1</v>
      </c>
      <c r="L60" s="20">
        <f>SUBTOTAL(103,DB[[#This Row],[SALDO]])*DB[[#This Row],[SALDO]]</f>
        <v>1</v>
      </c>
    </row>
    <row r="61" spans="1:12" ht="12" x14ac:dyDescent="0.2">
      <c r="A61" s="33" t="s">
        <v>116</v>
      </c>
      <c r="B61" s="33" t="s">
        <v>171</v>
      </c>
      <c r="C61" s="33" t="s">
        <v>203</v>
      </c>
      <c r="D61" s="33" t="s">
        <v>23</v>
      </c>
      <c r="E61" s="33" t="s">
        <v>215</v>
      </c>
      <c r="F61" s="35">
        <v>2</v>
      </c>
      <c r="G61" s="20" t="str">
        <f>vest(DB[[#This Row],[DESCRICAO]],2)</f>
        <v>CALCA JEANS</v>
      </c>
      <c r="H61" s="20" t="str">
        <f>CORTE(DB[[#This Row],[DESCRICAO]])</f>
        <v>STANDARD</v>
      </c>
      <c r="I61" s="20" t="s">
        <v>47</v>
      </c>
      <c r="J61" s="20">
        <f>SUBTOTAL(103,DB[[#This Row],[SALDO]])</f>
        <v>1</v>
      </c>
      <c r="L61" s="20">
        <f>SUBTOTAL(103,DB[[#This Row],[SALDO]])*DB[[#This Row],[SALDO]]</f>
        <v>2</v>
      </c>
    </row>
    <row r="62" spans="1:12" ht="12" x14ac:dyDescent="0.2">
      <c r="A62" s="33" t="s">
        <v>117</v>
      </c>
      <c r="B62" s="33" t="s">
        <v>171</v>
      </c>
      <c r="C62" s="33" t="s">
        <v>203</v>
      </c>
      <c r="D62" s="33" t="s">
        <v>23</v>
      </c>
      <c r="E62" s="33" t="s">
        <v>216</v>
      </c>
      <c r="F62" s="35">
        <v>1</v>
      </c>
      <c r="G62" s="20" t="str">
        <f>vest(DB[[#This Row],[DESCRICAO]],2)</f>
        <v>CALCA JEANS</v>
      </c>
      <c r="H62" s="20" t="str">
        <f>CORTE(DB[[#This Row],[DESCRICAO]])</f>
        <v>STANDARD</v>
      </c>
      <c r="I62" s="20" t="s">
        <v>47</v>
      </c>
      <c r="J62" s="20">
        <f>SUBTOTAL(103,DB[[#This Row],[SALDO]])</f>
        <v>1</v>
      </c>
      <c r="L62" s="20">
        <f>SUBTOTAL(103,DB[[#This Row],[SALDO]])*DB[[#This Row],[SALDO]]</f>
        <v>1</v>
      </c>
    </row>
    <row r="63" spans="1:12" ht="12" x14ac:dyDescent="0.2">
      <c r="A63" s="33" t="s">
        <v>118</v>
      </c>
      <c r="B63" s="33" t="s">
        <v>172</v>
      </c>
      <c r="C63" s="33" t="s">
        <v>204</v>
      </c>
      <c r="D63" s="33" t="s">
        <v>23</v>
      </c>
      <c r="E63" s="33" t="s">
        <v>211</v>
      </c>
      <c r="F63" s="35">
        <v>1</v>
      </c>
      <c r="G63" s="20" t="str">
        <f>vest(DB[[#This Row],[DESCRICAO]],2)</f>
        <v>CALCA JEANS</v>
      </c>
      <c r="H63" s="20" t="str">
        <f>CORTE(DB[[#This Row],[DESCRICAO]])</f>
        <v>SLIMMY</v>
      </c>
      <c r="I63" s="20" t="s">
        <v>47</v>
      </c>
      <c r="J63" s="20">
        <f>SUBTOTAL(103,DB[[#This Row],[SALDO]])</f>
        <v>1</v>
      </c>
      <c r="L63" s="20">
        <f>SUBTOTAL(103,DB[[#This Row],[SALDO]])*DB[[#This Row],[SALDO]]</f>
        <v>1</v>
      </c>
    </row>
    <row r="64" spans="1:12" ht="12" x14ac:dyDescent="0.2">
      <c r="A64" s="33" t="s">
        <v>119</v>
      </c>
      <c r="B64" s="33" t="s">
        <v>172</v>
      </c>
      <c r="C64" s="33" t="s">
        <v>204</v>
      </c>
      <c r="D64" s="33" t="s">
        <v>23</v>
      </c>
      <c r="E64" s="33" t="s">
        <v>212</v>
      </c>
      <c r="F64" s="35">
        <v>1</v>
      </c>
      <c r="G64" s="20" t="str">
        <f>vest(DB[[#This Row],[DESCRICAO]],2)</f>
        <v>CALCA JEANS</v>
      </c>
      <c r="H64" s="20" t="str">
        <f>CORTE(DB[[#This Row],[DESCRICAO]])</f>
        <v>SLIMMY</v>
      </c>
      <c r="I64" s="20" t="s">
        <v>47</v>
      </c>
      <c r="J64" s="20">
        <f>SUBTOTAL(103,DB[[#This Row],[SALDO]])</f>
        <v>1</v>
      </c>
      <c r="L64" s="20">
        <f>SUBTOTAL(103,DB[[#This Row],[SALDO]])*DB[[#This Row],[SALDO]]</f>
        <v>1</v>
      </c>
    </row>
    <row r="65" spans="1:12" ht="12" x14ac:dyDescent="0.2">
      <c r="A65" s="33" t="s">
        <v>120</v>
      </c>
      <c r="B65" s="33" t="s">
        <v>172</v>
      </c>
      <c r="C65" s="33" t="s">
        <v>204</v>
      </c>
      <c r="D65" s="33" t="s">
        <v>23</v>
      </c>
      <c r="E65" s="33" t="s">
        <v>213</v>
      </c>
      <c r="F65" s="35">
        <v>1</v>
      </c>
      <c r="G65" s="20" t="str">
        <f>vest(DB[[#This Row],[DESCRICAO]],2)</f>
        <v>CALCA JEANS</v>
      </c>
      <c r="H65" s="20" t="str">
        <f>CORTE(DB[[#This Row],[DESCRICAO]])</f>
        <v>SLIMMY</v>
      </c>
      <c r="I65" s="20" t="s">
        <v>47</v>
      </c>
      <c r="J65" s="20">
        <f>SUBTOTAL(103,DB[[#This Row],[SALDO]])</f>
        <v>1</v>
      </c>
      <c r="L65" s="20">
        <f>SUBTOTAL(103,DB[[#This Row],[SALDO]])*DB[[#This Row],[SALDO]]</f>
        <v>1</v>
      </c>
    </row>
    <row r="66" spans="1:12" ht="12" x14ac:dyDescent="0.2">
      <c r="A66" s="33" t="s">
        <v>121</v>
      </c>
      <c r="B66" s="33" t="s">
        <v>172</v>
      </c>
      <c r="C66" s="33" t="s">
        <v>204</v>
      </c>
      <c r="D66" s="33" t="s">
        <v>23</v>
      </c>
      <c r="E66" s="33" t="s">
        <v>217</v>
      </c>
      <c r="F66" s="35">
        <v>2</v>
      </c>
      <c r="G66" s="20" t="str">
        <f>vest(DB[[#This Row],[DESCRICAO]],2)</f>
        <v>CALCA JEANS</v>
      </c>
      <c r="H66" s="20" t="str">
        <f>CORTE(DB[[#This Row],[DESCRICAO]])</f>
        <v>SLIMMY</v>
      </c>
      <c r="I66" s="20" t="s">
        <v>47</v>
      </c>
      <c r="J66" s="20">
        <f>SUBTOTAL(103,DB[[#This Row],[SALDO]])</f>
        <v>1</v>
      </c>
      <c r="L66" s="20">
        <f>SUBTOTAL(103,DB[[#This Row],[SALDO]])*DB[[#This Row],[SALDO]]</f>
        <v>2</v>
      </c>
    </row>
    <row r="67" spans="1:12" ht="12" x14ac:dyDescent="0.2">
      <c r="A67" s="33" t="s">
        <v>122</v>
      </c>
      <c r="B67" s="33" t="s">
        <v>172</v>
      </c>
      <c r="C67" s="33" t="s">
        <v>204</v>
      </c>
      <c r="D67" s="33" t="s">
        <v>23</v>
      </c>
      <c r="E67" s="33" t="s">
        <v>214</v>
      </c>
      <c r="F67" s="35">
        <v>1</v>
      </c>
      <c r="G67" s="20" t="str">
        <f>vest(DB[[#This Row],[DESCRICAO]],2)</f>
        <v>CALCA JEANS</v>
      </c>
      <c r="H67" s="20" t="str">
        <f>CORTE(DB[[#This Row],[DESCRICAO]])</f>
        <v>SLIMMY</v>
      </c>
      <c r="I67" s="20" t="s">
        <v>47</v>
      </c>
      <c r="J67" s="20">
        <f>SUBTOTAL(103,DB[[#This Row],[SALDO]])</f>
        <v>1</v>
      </c>
      <c r="L67" s="20">
        <f>SUBTOTAL(103,DB[[#This Row],[SALDO]])*DB[[#This Row],[SALDO]]</f>
        <v>1</v>
      </c>
    </row>
    <row r="68" spans="1:12" ht="12" x14ac:dyDescent="0.2">
      <c r="A68" s="33" t="s">
        <v>123</v>
      </c>
      <c r="B68" s="33" t="s">
        <v>172</v>
      </c>
      <c r="C68" s="33" t="s">
        <v>204</v>
      </c>
      <c r="D68" s="33" t="s">
        <v>23</v>
      </c>
      <c r="E68" s="33" t="s">
        <v>215</v>
      </c>
      <c r="F68" s="35">
        <v>1</v>
      </c>
      <c r="G68" s="20" t="str">
        <f>vest(DB[[#This Row],[DESCRICAO]],2)</f>
        <v>CALCA JEANS</v>
      </c>
      <c r="H68" s="20" t="str">
        <f>CORTE(DB[[#This Row],[DESCRICAO]])</f>
        <v>SLIMMY</v>
      </c>
      <c r="I68" s="20" t="s">
        <v>47</v>
      </c>
      <c r="J68" s="20">
        <f>SUBTOTAL(103,DB[[#This Row],[SALDO]])</f>
        <v>1</v>
      </c>
      <c r="L68" s="20">
        <f>SUBTOTAL(103,DB[[#This Row],[SALDO]])*DB[[#This Row],[SALDO]]</f>
        <v>1</v>
      </c>
    </row>
    <row r="69" spans="1:12" ht="12" x14ac:dyDescent="0.2">
      <c r="A69" s="33" t="s">
        <v>124</v>
      </c>
      <c r="B69" s="33" t="s">
        <v>173</v>
      </c>
      <c r="C69" s="33" t="s">
        <v>205</v>
      </c>
      <c r="D69" s="33" t="s">
        <v>23</v>
      </c>
      <c r="E69" s="33" t="s">
        <v>219</v>
      </c>
      <c r="F69" s="35">
        <v>1</v>
      </c>
      <c r="G69" s="20" t="str">
        <f>vest(DB[[#This Row],[DESCRICAO]],2)</f>
        <v>CALCA JEANS</v>
      </c>
      <c r="H69" s="20" t="str">
        <f>CORTE(DB[[#This Row],[DESCRICAO]])</f>
        <v>PAXTYN</v>
      </c>
      <c r="I69" s="20" t="s">
        <v>47</v>
      </c>
      <c r="J69" s="20">
        <f>SUBTOTAL(103,DB[[#This Row],[SALDO]])</f>
        <v>1</v>
      </c>
      <c r="L69" s="20">
        <f>SUBTOTAL(103,DB[[#This Row],[SALDO]])*DB[[#This Row],[SALDO]]</f>
        <v>1</v>
      </c>
    </row>
    <row r="70" spans="1:12" ht="12" x14ac:dyDescent="0.2">
      <c r="A70" s="33" t="s">
        <v>125</v>
      </c>
      <c r="B70" s="33" t="s">
        <v>173</v>
      </c>
      <c r="C70" s="33" t="s">
        <v>205</v>
      </c>
      <c r="D70" s="33" t="s">
        <v>23</v>
      </c>
      <c r="E70" s="33" t="s">
        <v>211</v>
      </c>
      <c r="F70" s="35">
        <v>1</v>
      </c>
      <c r="G70" s="20" t="str">
        <f>vest(DB[[#This Row],[DESCRICAO]],2)</f>
        <v>CALCA JEANS</v>
      </c>
      <c r="H70" s="20" t="str">
        <f>CORTE(DB[[#This Row],[DESCRICAO]])</f>
        <v>PAXTYN</v>
      </c>
      <c r="I70" s="20" t="s">
        <v>47</v>
      </c>
      <c r="J70" s="20">
        <f>SUBTOTAL(103,DB[[#This Row],[SALDO]])</f>
        <v>1</v>
      </c>
      <c r="L70" s="20">
        <f>SUBTOTAL(103,DB[[#This Row],[SALDO]])*DB[[#This Row],[SALDO]]</f>
        <v>1</v>
      </c>
    </row>
    <row r="71" spans="1:12" ht="12" x14ac:dyDescent="0.2">
      <c r="A71" s="33" t="s">
        <v>126</v>
      </c>
      <c r="B71" s="33" t="s">
        <v>173</v>
      </c>
      <c r="C71" s="33" t="s">
        <v>205</v>
      </c>
      <c r="D71" s="33" t="s">
        <v>23</v>
      </c>
      <c r="E71" s="33" t="s">
        <v>212</v>
      </c>
      <c r="F71" s="35">
        <v>1</v>
      </c>
      <c r="G71" s="20" t="str">
        <f>vest(DB[[#This Row],[DESCRICAO]],2)</f>
        <v>CALCA JEANS</v>
      </c>
      <c r="H71" s="20" t="str">
        <f>CORTE(DB[[#This Row],[DESCRICAO]])</f>
        <v>PAXTYN</v>
      </c>
      <c r="I71" s="20" t="s">
        <v>47</v>
      </c>
      <c r="J71" s="20">
        <f>SUBTOTAL(103,DB[[#This Row],[SALDO]])</f>
        <v>1</v>
      </c>
      <c r="L71" s="20">
        <f>SUBTOTAL(103,DB[[#This Row],[SALDO]])*DB[[#This Row],[SALDO]]</f>
        <v>1</v>
      </c>
    </row>
    <row r="72" spans="1:12" ht="12" x14ac:dyDescent="0.2">
      <c r="A72" s="33" t="s">
        <v>127</v>
      </c>
      <c r="B72" s="33" t="s">
        <v>173</v>
      </c>
      <c r="C72" s="33" t="s">
        <v>205</v>
      </c>
      <c r="D72" s="33" t="s">
        <v>23</v>
      </c>
      <c r="E72" s="33" t="s">
        <v>217</v>
      </c>
      <c r="F72" s="35">
        <v>1</v>
      </c>
      <c r="G72" s="20" t="str">
        <f>vest(DB[[#This Row],[DESCRICAO]],2)</f>
        <v>CALCA JEANS</v>
      </c>
      <c r="H72" s="20" t="str">
        <f>CORTE(DB[[#This Row],[DESCRICAO]])</f>
        <v>PAXTYN</v>
      </c>
      <c r="I72" s="20" t="s">
        <v>47</v>
      </c>
      <c r="J72" s="20">
        <f>SUBTOTAL(103,DB[[#This Row],[SALDO]])</f>
        <v>1</v>
      </c>
      <c r="L72" s="20">
        <f>SUBTOTAL(103,DB[[#This Row],[SALDO]])*DB[[#This Row],[SALDO]]</f>
        <v>1</v>
      </c>
    </row>
    <row r="73" spans="1:12" ht="12" x14ac:dyDescent="0.2">
      <c r="A73" s="33" t="s">
        <v>128</v>
      </c>
      <c r="B73" s="33" t="s">
        <v>173</v>
      </c>
      <c r="C73" s="33" t="s">
        <v>205</v>
      </c>
      <c r="D73" s="33" t="s">
        <v>23</v>
      </c>
      <c r="E73" s="33" t="s">
        <v>214</v>
      </c>
      <c r="F73" s="35">
        <v>1</v>
      </c>
      <c r="G73" s="20" t="str">
        <f>vest(DB[[#This Row],[DESCRICAO]],2)</f>
        <v>CALCA JEANS</v>
      </c>
      <c r="H73" s="20" t="str">
        <f>CORTE(DB[[#This Row],[DESCRICAO]])</f>
        <v>PAXTYN</v>
      </c>
      <c r="I73" s="20" t="s">
        <v>47</v>
      </c>
      <c r="J73" s="20">
        <f>SUBTOTAL(103,DB[[#This Row],[SALDO]])</f>
        <v>1</v>
      </c>
      <c r="L73" s="20">
        <f>SUBTOTAL(103,DB[[#This Row],[SALDO]])*DB[[#This Row],[SALDO]]</f>
        <v>1</v>
      </c>
    </row>
    <row r="74" spans="1:12" ht="12" x14ac:dyDescent="0.2">
      <c r="A74" s="33" t="s">
        <v>129</v>
      </c>
      <c r="B74" s="33" t="s">
        <v>174</v>
      </c>
      <c r="C74" s="33" t="s">
        <v>206</v>
      </c>
      <c r="D74" s="33" t="s">
        <v>23</v>
      </c>
      <c r="E74" s="33" t="s">
        <v>211</v>
      </c>
      <c r="F74" s="35">
        <v>1</v>
      </c>
      <c r="G74" s="20" t="str">
        <f>vest(DB[[#This Row],[DESCRICAO]],2)</f>
        <v>CALCA JEANS</v>
      </c>
      <c r="H74" s="20" t="str">
        <f>CORTE(DB[[#This Row],[DESCRICAO]])</f>
        <v>SLIMMY</v>
      </c>
      <c r="I74" s="20" t="s">
        <v>47</v>
      </c>
      <c r="J74" s="20">
        <f>SUBTOTAL(103,DB[[#This Row],[SALDO]])</f>
        <v>1</v>
      </c>
      <c r="L74" s="20">
        <f>SUBTOTAL(103,DB[[#This Row],[SALDO]])*DB[[#This Row],[SALDO]]</f>
        <v>1</v>
      </c>
    </row>
    <row r="75" spans="1:12" ht="12" x14ac:dyDescent="0.2">
      <c r="A75" s="33" t="s">
        <v>130</v>
      </c>
      <c r="B75" s="33" t="s">
        <v>174</v>
      </c>
      <c r="C75" s="33" t="s">
        <v>206</v>
      </c>
      <c r="D75" s="33" t="s">
        <v>23</v>
      </c>
      <c r="E75" s="33" t="s">
        <v>213</v>
      </c>
      <c r="F75" s="35">
        <v>1</v>
      </c>
      <c r="G75" s="20" t="str">
        <f>vest(DB[[#This Row],[DESCRICAO]],2)</f>
        <v>CALCA JEANS</v>
      </c>
      <c r="H75" s="20" t="str">
        <f>CORTE(DB[[#This Row],[DESCRICAO]])</f>
        <v>SLIMMY</v>
      </c>
      <c r="I75" s="20" t="s">
        <v>47</v>
      </c>
      <c r="J75" s="20">
        <f>SUBTOTAL(103,DB[[#This Row],[SALDO]])</f>
        <v>1</v>
      </c>
      <c r="L75" s="20">
        <f>SUBTOTAL(103,DB[[#This Row],[SALDO]])*DB[[#This Row],[SALDO]]</f>
        <v>1</v>
      </c>
    </row>
    <row r="76" spans="1:12" ht="12" x14ac:dyDescent="0.2">
      <c r="A76" s="33" t="s">
        <v>131</v>
      </c>
      <c r="B76" s="33" t="s">
        <v>174</v>
      </c>
      <c r="C76" s="33" t="s">
        <v>206</v>
      </c>
      <c r="D76" s="33" t="s">
        <v>23</v>
      </c>
      <c r="E76" s="33" t="s">
        <v>217</v>
      </c>
      <c r="F76" s="35">
        <v>1</v>
      </c>
      <c r="G76" s="20" t="str">
        <f>vest(DB[[#This Row],[DESCRICAO]],2)</f>
        <v>CALCA JEANS</v>
      </c>
      <c r="H76" s="20" t="str">
        <f>CORTE(DB[[#This Row],[DESCRICAO]])</f>
        <v>SLIMMY</v>
      </c>
      <c r="I76" s="20" t="s">
        <v>47</v>
      </c>
      <c r="J76" s="20">
        <f>SUBTOTAL(103,DB[[#This Row],[SALDO]])</f>
        <v>1</v>
      </c>
      <c r="L76" s="20">
        <f>SUBTOTAL(103,DB[[#This Row],[SALDO]])*DB[[#This Row],[SALDO]]</f>
        <v>1</v>
      </c>
    </row>
    <row r="77" spans="1:12" ht="12" x14ac:dyDescent="0.2">
      <c r="A77" s="33" t="s">
        <v>132</v>
      </c>
      <c r="B77" s="33" t="s">
        <v>174</v>
      </c>
      <c r="C77" s="33" t="s">
        <v>206</v>
      </c>
      <c r="D77" s="33" t="s">
        <v>23</v>
      </c>
      <c r="E77" s="33" t="s">
        <v>214</v>
      </c>
      <c r="F77" s="35">
        <v>2</v>
      </c>
      <c r="G77" s="20" t="str">
        <f>vest(DB[[#This Row],[DESCRICAO]],2)</f>
        <v>CALCA JEANS</v>
      </c>
      <c r="H77" s="20" t="str">
        <f>CORTE(DB[[#This Row],[DESCRICAO]])</f>
        <v>SLIMMY</v>
      </c>
      <c r="I77" s="20" t="s">
        <v>47</v>
      </c>
      <c r="J77" s="20">
        <f>SUBTOTAL(103,DB[[#This Row],[SALDO]])</f>
        <v>1</v>
      </c>
      <c r="L77" s="20">
        <f>SUBTOTAL(103,DB[[#This Row],[SALDO]])*DB[[#This Row],[SALDO]]</f>
        <v>2</v>
      </c>
    </row>
    <row r="78" spans="1:12" ht="12" x14ac:dyDescent="0.2">
      <c r="A78" s="33" t="s">
        <v>133</v>
      </c>
      <c r="B78" s="33" t="s">
        <v>174</v>
      </c>
      <c r="C78" s="33" t="s">
        <v>206</v>
      </c>
      <c r="D78" s="33" t="s">
        <v>23</v>
      </c>
      <c r="E78" s="33" t="s">
        <v>215</v>
      </c>
      <c r="F78" s="35">
        <v>1</v>
      </c>
      <c r="G78" s="20" t="str">
        <f>vest(DB[[#This Row],[DESCRICAO]],2)</f>
        <v>CALCA JEANS</v>
      </c>
      <c r="H78" s="20" t="str">
        <f>CORTE(DB[[#This Row],[DESCRICAO]])</f>
        <v>SLIMMY</v>
      </c>
      <c r="I78" s="20" t="s">
        <v>47</v>
      </c>
      <c r="J78" s="20">
        <f>SUBTOTAL(103,DB[[#This Row],[SALDO]])</f>
        <v>1</v>
      </c>
      <c r="L78" s="20">
        <f>SUBTOTAL(103,DB[[#This Row],[SALDO]])*DB[[#This Row],[SALDO]]</f>
        <v>1</v>
      </c>
    </row>
    <row r="79" spans="1:12" ht="12" x14ac:dyDescent="0.2">
      <c r="A79" s="33" t="s">
        <v>134</v>
      </c>
      <c r="B79" s="33" t="s">
        <v>175</v>
      </c>
      <c r="C79" s="33" t="s">
        <v>207</v>
      </c>
      <c r="D79" s="33" t="s">
        <v>23</v>
      </c>
      <c r="E79" s="33" t="s">
        <v>216</v>
      </c>
      <c r="F79" s="35">
        <v>1</v>
      </c>
      <c r="G79" s="20" t="str">
        <f>vest(DB[[#This Row],[DESCRICAO]],2)</f>
        <v>CALCA JEANS</v>
      </c>
      <c r="H79" s="20" t="str">
        <f>CORTE(DB[[#This Row],[DESCRICAO]])</f>
        <v>SLIMMY</v>
      </c>
      <c r="I79" s="20" t="s">
        <v>47</v>
      </c>
      <c r="J79" s="20">
        <f>SUBTOTAL(103,DB[[#This Row],[SALDO]])</f>
        <v>1</v>
      </c>
      <c r="L79" s="20">
        <f>SUBTOTAL(103,DB[[#This Row],[SALDO]])*DB[[#This Row],[SALDO]]</f>
        <v>1</v>
      </c>
    </row>
    <row r="80" spans="1:12" ht="12" x14ac:dyDescent="0.2">
      <c r="A80" s="33" t="s">
        <v>135</v>
      </c>
      <c r="B80" s="33" t="s">
        <v>176</v>
      </c>
      <c r="C80" s="33" t="s">
        <v>208</v>
      </c>
      <c r="D80" s="33" t="s">
        <v>23</v>
      </c>
      <c r="E80" s="33" t="s">
        <v>211</v>
      </c>
      <c r="F80" s="35">
        <v>1</v>
      </c>
      <c r="G80" s="20" t="str">
        <f>vest(DB[[#This Row],[DESCRICAO]],2)</f>
        <v>CALCA JEANS</v>
      </c>
      <c r="H80" s="20" t="str">
        <f>CORTE(DB[[#This Row],[DESCRICAO]])</f>
        <v>SLIMMY</v>
      </c>
      <c r="I80" s="20" t="s">
        <v>47</v>
      </c>
      <c r="J80" s="20">
        <f>SUBTOTAL(103,DB[[#This Row],[SALDO]])</f>
        <v>1</v>
      </c>
      <c r="L80" s="20">
        <f>SUBTOTAL(103,DB[[#This Row],[SALDO]])*DB[[#This Row],[SALDO]]</f>
        <v>1</v>
      </c>
    </row>
    <row r="81" spans="1:12" ht="12" x14ac:dyDescent="0.2">
      <c r="A81" s="33" t="s">
        <v>136</v>
      </c>
      <c r="B81" s="33" t="s">
        <v>163</v>
      </c>
      <c r="C81" s="33" t="s">
        <v>195</v>
      </c>
      <c r="D81" s="33" t="s">
        <v>56</v>
      </c>
      <c r="E81" s="33" t="s">
        <v>213</v>
      </c>
      <c r="F81" s="35">
        <v>1</v>
      </c>
      <c r="G81" s="20" t="str">
        <f>vest(DB[[#This Row],[DESCRICAO]] &amp; " " &amp;DB[[#This Row],[COR]],2)</f>
        <v>CALCA</v>
      </c>
      <c r="H81" s="20" t="str">
        <f>CORTE(DB[[#This Row],[DESCRICAO]])</f>
        <v>COLOR</v>
      </c>
      <c r="I81" s="20" t="s">
        <v>47</v>
      </c>
      <c r="J81" s="20">
        <f>SUBTOTAL(103,DB[[#This Row],[SALDO]])</f>
        <v>1</v>
      </c>
      <c r="L81" s="20">
        <f>SUBTOTAL(103,DB[[#This Row],[SALDO]])*DB[[#This Row],[SALDO]]</f>
        <v>1</v>
      </c>
    </row>
    <row r="82" spans="1:12" ht="12" x14ac:dyDescent="0.2">
      <c r="A82" s="33" t="s">
        <v>137</v>
      </c>
      <c r="B82" s="33" t="s">
        <v>163</v>
      </c>
      <c r="C82" s="33" t="s">
        <v>195</v>
      </c>
      <c r="D82" s="33" t="s">
        <v>56</v>
      </c>
      <c r="E82" s="33" t="s">
        <v>220</v>
      </c>
      <c r="F82" s="35">
        <v>1</v>
      </c>
      <c r="G82" s="20" t="str">
        <f>vest(DB[[#This Row],[DESCRICAO]] &amp; " " &amp;DB[[#This Row],[COR]],2)</f>
        <v>CALCA</v>
      </c>
      <c r="H82" s="20" t="str">
        <f>CORTE(DB[[#This Row],[DESCRICAO]])</f>
        <v>COLOR</v>
      </c>
      <c r="I82" s="20" t="s">
        <v>47</v>
      </c>
      <c r="J82" s="20">
        <f>SUBTOTAL(103,DB[[#This Row],[SALDO]])</f>
        <v>1</v>
      </c>
      <c r="L82" s="20">
        <f>SUBTOTAL(103,DB[[#This Row],[SALDO]])*DB[[#This Row],[SALDO]]</f>
        <v>1</v>
      </c>
    </row>
    <row r="83" spans="1:12" ht="12" x14ac:dyDescent="0.2">
      <c r="A83" s="33" t="s">
        <v>138</v>
      </c>
      <c r="B83" s="33" t="s">
        <v>163</v>
      </c>
      <c r="C83" s="33" t="s">
        <v>195</v>
      </c>
      <c r="D83" s="33" t="s">
        <v>56</v>
      </c>
      <c r="E83" s="33" t="s">
        <v>215</v>
      </c>
      <c r="F83" s="35">
        <v>1</v>
      </c>
      <c r="G83" s="20" t="str">
        <f>vest(DB[[#This Row],[DESCRICAO]] &amp; " " &amp;DB[[#This Row],[COR]],2)</f>
        <v>CALCA</v>
      </c>
      <c r="H83" s="20" t="str">
        <f>CORTE(DB[[#This Row],[DESCRICAO]])</f>
        <v>COLOR</v>
      </c>
      <c r="I83" s="20" t="s">
        <v>47</v>
      </c>
      <c r="J83" s="20">
        <f>SUBTOTAL(103,DB[[#This Row],[SALDO]])</f>
        <v>1</v>
      </c>
      <c r="L83" s="20">
        <f>SUBTOTAL(103,DB[[#This Row],[SALDO]])*DB[[#This Row],[SALDO]]</f>
        <v>1</v>
      </c>
    </row>
    <row r="84" spans="1:12" ht="12" x14ac:dyDescent="0.2">
      <c r="A84" s="33" t="s">
        <v>139</v>
      </c>
      <c r="B84" s="33" t="s">
        <v>177</v>
      </c>
      <c r="C84" s="33" t="s">
        <v>209</v>
      </c>
      <c r="D84" s="33" t="s">
        <v>57</v>
      </c>
      <c r="E84" s="33" t="s">
        <v>211</v>
      </c>
      <c r="F84" s="35">
        <v>1</v>
      </c>
      <c r="G84" s="20" t="str">
        <f>vest(DB[[#This Row],[DESCRICAO]] &amp; " " &amp;DB[[#This Row],[COR]],2)</f>
        <v>CALCA</v>
      </c>
      <c r="H84" s="20" t="str">
        <f>CORTE(DB[[#This Row],[DESCRICAO]])</f>
        <v>COLOR</v>
      </c>
      <c r="I84" s="20" t="s">
        <v>47</v>
      </c>
      <c r="J84" s="20">
        <f>SUBTOTAL(103,DB[[#This Row],[SALDO]])</f>
        <v>1</v>
      </c>
      <c r="L84" s="20">
        <f>SUBTOTAL(103,DB[[#This Row],[SALDO]])*DB[[#This Row],[SALDO]]</f>
        <v>1</v>
      </c>
    </row>
    <row r="85" spans="1:12" ht="12" x14ac:dyDescent="0.2">
      <c r="A85" s="33" t="s">
        <v>140</v>
      </c>
      <c r="B85" s="33" t="s">
        <v>177</v>
      </c>
      <c r="C85" s="33" t="s">
        <v>209</v>
      </c>
      <c r="D85" s="33" t="s">
        <v>57</v>
      </c>
      <c r="E85" s="33" t="s">
        <v>213</v>
      </c>
      <c r="F85" s="35">
        <v>1</v>
      </c>
      <c r="G85" s="20" t="str">
        <f>vest(DB[[#This Row],[DESCRICAO]] &amp; " " &amp;DB[[#This Row],[COR]],2)</f>
        <v>CALCA</v>
      </c>
      <c r="H85" s="20" t="str">
        <f>CORTE(DB[[#This Row],[DESCRICAO]])</f>
        <v>COLOR</v>
      </c>
      <c r="I85" s="20" t="s">
        <v>47</v>
      </c>
      <c r="J85" s="20">
        <f>SUBTOTAL(103,DB[[#This Row],[SALDO]])</f>
        <v>1</v>
      </c>
      <c r="L85" s="20">
        <f>SUBTOTAL(103,DB[[#This Row],[SALDO]])*DB[[#This Row],[SALDO]]</f>
        <v>1</v>
      </c>
    </row>
    <row r="86" spans="1:12" ht="12" x14ac:dyDescent="0.2">
      <c r="A86" s="33" t="s">
        <v>141</v>
      </c>
      <c r="B86" s="33" t="s">
        <v>177</v>
      </c>
      <c r="C86" s="33" t="s">
        <v>209</v>
      </c>
      <c r="D86" s="33" t="s">
        <v>57</v>
      </c>
      <c r="E86" s="33" t="s">
        <v>220</v>
      </c>
      <c r="F86" s="35">
        <v>1</v>
      </c>
      <c r="G86" s="20" t="str">
        <f>vest(DB[[#This Row],[DESCRICAO]] &amp; " " &amp;DB[[#This Row],[COR]],2)</f>
        <v>CALCA</v>
      </c>
      <c r="H86" s="20" t="str">
        <f>CORTE(DB[[#This Row],[DESCRICAO]])</f>
        <v>COLOR</v>
      </c>
      <c r="I86" s="20" t="s">
        <v>47</v>
      </c>
      <c r="J86" s="20">
        <f>SUBTOTAL(103,DB[[#This Row],[SALDO]])</f>
        <v>1</v>
      </c>
      <c r="L86" s="20">
        <f>SUBTOTAL(103,DB[[#This Row],[SALDO]])*DB[[#This Row],[SALDO]]</f>
        <v>1</v>
      </c>
    </row>
    <row r="87" spans="1:12" ht="12" x14ac:dyDescent="0.2">
      <c r="A87" s="33" t="s">
        <v>142</v>
      </c>
      <c r="B87" s="33" t="s">
        <v>177</v>
      </c>
      <c r="C87" s="33" t="s">
        <v>209</v>
      </c>
      <c r="D87" s="33" t="s">
        <v>57</v>
      </c>
      <c r="E87" s="33" t="s">
        <v>217</v>
      </c>
      <c r="F87" s="35">
        <v>1</v>
      </c>
      <c r="G87" s="20" t="str">
        <f>vest(DB[[#This Row],[DESCRICAO]] &amp; " " &amp;DB[[#This Row],[COR]],2)</f>
        <v>CALCA</v>
      </c>
      <c r="H87" s="20" t="str">
        <f>CORTE(DB[[#This Row],[DESCRICAO]])</f>
        <v>COLOR</v>
      </c>
      <c r="I87" s="20" t="s">
        <v>47</v>
      </c>
      <c r="J87" s="20">
        <f>SUBTOTAL(103,DB[[#This Row],[SALDO]])</f>
        <v>1</v>
      </c>
      <c r="L87" s="20">
        <f>SUBTOTAL(103,DB[[#This Row],[SALDO]])*DB[[#This Row],[SALDO]]</f>
        <v>1</v>
      </c>
    </row>
    <row r="88" spans="1:12" ht="12" x14ac:dyDescent="0.2">
      <c r="A88" s="33" t="s">
        <v>143</v>
      </c>
      <c r="B88" s="33" t="s">
        <v>177</v>
      </c>
      <c r="C88" s="33" t="s">
        <v>209</v>
      </c>
      <c r="D88" s="33" t="s">
        <v>57</v>
      </c>
      <c r="E88" s="33" t="s">
        <v>215</v>
      </c>
      <c r="F88" s="35">
        <v>2</v>
      </c>
      <c r="G88" s="20" t="str">
        <f>vest(DB[[#This Row],[DESCRICAO]] &amp; " " &amp;DB[[#This Row],[COR]],2)</f>
        <v>CALCA</v>
      </c>
      <c r="H88" s="20" t="str">
        <f>CORTE(DB[[#This Row],[DESCRICAO]])</f>
        <v>COLOR</v>
      </c>
      <c r="I88" s="20" t="s">
        <v>47</v>
      </c>
      <c r="J88" s="20">
        <f>SUBTOTAL(103,DB[[#This Row],[SALDO]])</f>
        <v>1</v>
      </c>
      <c r="L88" s="20">
        <f>SUBTOTAL(103,DB[[#This Row],[SALDO]])*DB[[#This Row],[SALDO]]</f>
        <v>2</v>
      </c>
    </row>
    <row r="89" spans="1:12" ht="12" x14ac:dyDescent="0.2">
      <c r="A89" s="33" t="s">
        <v>144</v>
      </c>
      <c r="B89" s="33" t="s">
        <v>178</v>
      </c>
      <c r="C89" s="33" t="s">
        <v>210</v>
      </c>
      <c r="D89" s="33" t="s">
        <v>19</v>
      </c>
      <c r="E89" s="33" t="s">
        <v>211</v>
      </c>
      <c r="F89" s="35">
        <v>1</v>
      </c>
      <c r="G89" s="20" t="str">
        <f>vest(DB[[#This Row],[DESCRICAO]] &amp; " " &amp;DB[[#This Row],[COR]],2)</f>
        <v>CALCA</v>
      </c>
      <c r="H89" s="20" t="str">
        <f>CORTE(DB[[#This Row],[DESCRICAO]])</f>
        <v>COLOR</v>
      </c>
      <c r="I89" s="20" t="s">
        <v>47</v>
      </c>
      <c r="J89" s="20">
        <f>SUBTOTAL(103,DB[[#This Row],[SALDO]])</f>
        <v>1</v>
      </c>
      <c r="L89" s="20">
        <f>SUBTOTAL(103,DB[[#This Row],[SALDO]])*DB[[#This Row],[SALDO]]</f>
        <v>1</v>
      </c>
    </row>
    <row r="90" spans="1:12" ht="12" x14ac:dyDescent="0.2">
      <c r="A90" s="33" t="s">
        <v>145</v>
      </c>
      <c r="B90" s="33" t="s">
        <v>178</v>
      </c>
      <c r="C90" s="33" t="s">
        <v>210</v>
      </c>
      <c r="D90" s="33" t="s">
        <v>19</v>
      </c>
      <c r="E90" s="33" t="s">
        <v>217</v>
      </c>
      <c r="F90" s="35">
        <v>1</v>
      </c>
      <c r="G90" s="20" t="str">
        <f>vest(DB[[#This Row],[DESCRICAO]] &amp; " " &amp;DB[[#This Row],[COR]],2)</f>
        <v>CALCA</v>
      </c>
      <c r="H90" s="20" t="str">
        <f>CORTE(DB[[#This Row],[DESCRICAO]])</f>
        <v>COLOR</v>
      </c>
      <c r="I90" s="20" t="s">
        <v>47</v>
      </c>
      <c r="J90" s="20">
        <f>SUBTOTAL(103,DB[[#This Row],[SALDO]])</f>
        <v>1</v>
      </c>
      <c r="L90" s="20">
        <f>SUBTOTAL(103,DB[[#This Row],[SALDO]])*DB[[#This Row],[SALDO]]</f>
        <v>1</v>
      </c>
    </row>
    <row r="91" spans="1:12" ht="12" x14ac:dyDescent="0.2">
      <c r="A91" s="33" t="s">
        <v>146</v>
      </c>
      <c r="B91" s="33" t="s">
        <v>178</v>
      </c>
      <c r="C91" s="33" t="s">
        <v>210</v>
      </c>
      <c r="D91" s="33" t="s">
        <v>19</v>
      </c>
      <c r="E91" s="33" t="s">
        <v>214</v>
      </c>
      <c r="F91" s="35">
        <v>1</v>
      </c>
      <c r="G91" s="20" t="str">
        <f>vest(DB[[#This Row],[DESCRICAO]] &amp; " " &amp;DB[[#This Row],[COR]],2)</f>
        <v>CALCA</v>
      </c>
      <c r="H91" s="20" t="str">
        <f>CORTE(DB[[#This Row],[DESCRICAO]])</f>
        <v>COLOR</v>
      </c>
      <c r="I91" s="20" t="s">
        <v>47</v>
      </c>
      <c r="J91" s="20">
        <f>SUBTOTAL(103,DB[[#This Row],[SALDO]])</f>
        <v>1</v>
      </c>
      <c r="L91" s="20">
        <f>SUBTOTAL(103,DB[[#This Row],[SALDO]])*DB[[#This Row],[SALDO]]</f>
        <v>1</v>
      </c>
    </row>
    <row r="92" spans="1:12" ht="12" x14ac:dyDescent="0.2">
      <c r="A92" s="33" t="s">
        <v>147</v>
      </c>
      <c r="B92" s="33" t="s">
        <v>178</v>
      </c>
      <c r="C92" s="33" t="s">
        <v>210</v>
      </c>
      <c r="D92" s="33" t="s">
        <v>19</v>
      </c>
      <c r="E92" s="33" t="s">
        <v>215</v>
      </c>
      <c r="F92" s="35">
        <v>1</v>
      </c>
      <c r="G92" s="20" t="str">
        <f>vest(DB[[#This Row],[DESCRICAO]] &amp; " " &amp;DB[[#This Row],[COR]],2)</f>
        <v>CALCA</v>
      </c>
      <c r="H92" s="20" t="str">
        <f>CORTE(DB[[#This Row],[DESCRICAO]])</f>
        <v>COLOR</v>
      </c>
      <c r="I92" s="20" t="s">
        <v>47</v>
      </c>
      <c r="J92" s="20">
        <f>SUBTOTAL(103,DB[[#This Row],[SALDO]])</f>
        <v>1</v>
      </c>
      <c r="L92" s="20">
        <f>SUBTOTAL(103,DB[[#This Row],[SALDO]])*DB[[#This Row],[SALDO]]</f>
        <v>1</v>
      </c>
    </row>
  </sheetData>
  <phoneticPr fontId="18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93C7-8A15-4269-B958-8A795EDEFB89}">
  <sheetPr codeName="Planilha1"/>
  <dimension ref="A1:B11"/>
  <sheetViews>
    <sheetView workbookViewId="0">
      <selection activeCell="C4" sqref="C4"/>
    </sheetView>
  </sheetViews>
  <sheetFormatPr defaultRowHeight="15" x14ac:dyDescent="0.25"/>
  <sheetData>
    <row r="1" spans="1:2" x14ac:dyDescent="0.25">
      <c r="A1" s="36"/>
      <c r="B1" s="36" t="s">
        <v>218</v>
      </c>
    </row>
    <row r="2" spans="1:2" x14ac:dyDescent="0.25">
      <c r="A2" s="36"/>
      <c r="B2" s="36" t="s">
        <v>219</v>
      </c>
    </row>
    <row r="3" spans="1:2" x14ac:dyDescent="0.25">
      <c r="A3" s="36"/>
      <c r="B3" s="36" t="s">
        <v>211</v>
      </c>
    </row>
    <row r="4" spans="1:2" x14ac:dyDescent="0.25">
      <c r="A4" s="36"/>
      <c r="B4" s="36" t="s">
        <v>212</v>
      </c>
    </row>
    <row r="5" spans="1:2" x14ac:dyDescent="0.25">
      <c r="A5" s="36"/>
      <c r="B5" s="36" t="s">
        <v>213</v>
      </c>
    </row>
    <row r="6" spans="1:2" x14ac:dyDescent="0.25">
      <c r="A6" s="36"/>
      <c r="B6" s="36" t="s">
        <v>220</v>
      </c>
    </row>
    <row r="7" spans="1:2" x14ac:dyDescent="0.25">
      <c r="A7" s="36"/>
      <c r="B7" s="36" t="s">
        <v>217</v>
      </c>
    </row>
    <row r="8" spans="1:2" x14ac:dyDescent="0.25">
      <c r="A8" s="36"/>
      <c r="B8" s="36" t="s">
        <v>214</v>
      </c>
    </row>
    <row r="9" spans="1:2" x14ac:dyDescent="0.25">
      <c r="A9" s="36"/>
      <c r="B9" s="36" t="s">
        <v>215</v>
      </c>
    </row>
    <row r="10" spans="1:2" x14ac:dyDescent="0.25">
      <c r="A10" s="36"/>
      <c r="B10" s="36" t="s">
        <v>216</v>
      </c>
    </row>
    <row r="11" spans="1:2" x14ac:dyDescent="0.25">
      <c r="B11" s="37"/>
    </row>
  </sheetData>
  <sortState xmlns:xlrd2="http://schemas.microsoft.com/office/spreadsheetml/2017/richdata2" ref="B1:B90">
    <sortCondition ref="B1:B90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7B2-12B5-4918-998F-17B672E8590D}">
  <sheetPr codeName="Planilha4"/>
  <dimension ref="A1:J15"/>
  <sheetViews>
    <sheetView workbookViewId="0">
      <selection activeCell="A5" sqref="A5"/>
    </sheetView>
  </sheetViews>
  <sheetFormatPr defaultRowHeight="15" x14ac:dyDescent="0.25"/>
  <cols>
    <col min="1" max="1" width="19.7109375" style="2" bestFit="1" customWidth="1"/>
    <col min="2" max="2" width="19.7109375" style="2" customWidth="1"/>
    <col min="3" max="3" width="10" style="1" bestFit="1" customWidth="1"/>
    <col min="4" max="10" width="9.140625" style="1"/>
  </cols>
  <sheetData>
    <row r="1" spans="1:9" x14ac:dyDescent="0.25">
      <c r="A1" s="2" t="s">
        <v>34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 s="1">
        <v>6</v>
      </c>
      <c r="I1" s="1">
        <v>7</v>
      </c>
    </row>
    <row r="2" spans="1:9" x14ac:dyDescent="0.25">
      <c r="A2" s="2" t="s">
        <v>0</v>
      </c>
      <c r="B2" s="2" t="str">
        <f t="shared" ref="B2:B15" si="0">UnirTextop("-",C2,D2,E2,F2,G2,H2,I2)</f>
        <v>P-M-G-GG-EG</v>
      </c>
      <c r="C2" s="1" t="s">
        <v>25</v>
      </c>
      <c r="D2" s="1" t="s">
        <v>24</v>
      </c>
      <c r="E2" s="1" t="s">
        <v>26</v>
      </c>
      <c r="F2" s="1" t="s">
        <v>27</v>
      </c>
      <c r="G2" s="1" t="s">
        <v>28</v>
      </c>
    </row>
    <row r="3" spans="1:9" x14ac:dyDescent="0.25">
      <c r="A3" s="2" t="s">
        <v>4</v>
      </c>
      <c r="B3" s="2" t="str">
        <f t="shared" si="0"/>
        <v>P-M-G-GG-EG</v>
      </c>
      <c r="C3" s="1" t="s">
        <v>25</v>
      </c>
      <c r="D3" s="1" t="s">
        <v>24</v>
      </c>
      <c r="E3" s="1" t="s">
        <v>26</v>
      </c>
      <c r="F3" s="1" t="s">
        <v>27</v>
      </c>
      <c r="G3" s="1" t="s">
        <v>28</v>
      </c>
    </row>
    <row r="4" spans="1:9" x14ac:dyDescent="0.25">
      <c r="A4" s="2" t="s">
        <v>6</v>
      </c>
      <c r="B4" s="2" t="str">
        <f t="shared" si="0"/>
        <v>P-M-G-GG-EG</v>
      </c>
      <c r="C4" s="1" t="s">
        <v>25</v>
      </c>
      <c r="D4" s="1" t="s">
        <v>24</v>
      </c>
      <c r="E4" s="1" t="s">
        <v>26</v>
      </c>
      <c r="F4" s="1" t="s">
        <v>27</v>
      </c>
      <c r="G4" s="1" t="s">
        <v>28</v>
      </c>
    </row>
    <row r="5" spans="1:9" x14ac:dyDescent="0.25">
      <c r="A5" s="2" t="s">
        <v>12</v>
      </c>
      <c r="B5" s="2" t="str">
        <f t="shared" si="0"/>
        <v>P-M-G-GG-EG</v>
      </c>
      <c r="C5" s="1" t="s">
        <v>25</v>
      </c>
      <c r="D5" s="1" t="s">
        <v>24</v>
      </c>
      <c r="E5" s="1" t="s">
        <v>26</v>
      </c>
      <c r="F5" s="1" t="s">
        <v>27</v>
      </c>
      <c r="G5" s="1" t="s">
        <v>28</v>
      </c>
    </row>
    <row r="6" spans="1:9" x14ac:dyDescent="0.25">
      <c r="A6" s="2" t="s">
        <v>38</v>
      </c>
      <c r="B6" s="2" t="str">
        <f t="shared" si="0"/>
        <v>P-M-G-GG-EG</v>
      </c>
      <c r="C6" s="1" t="s">
        <v>25</v>
      </c>
      <c r="D6" s="1" t="s">
        <v>24</v>
      </c>
      <c r="E6" s="1" t="s">
        <v>26</v>
      </c>
      <c r="F6" s="1" t="s">
        <v>27</v>
      </c>
      <c r="G6" s="1" t="s">
        <v>28</v>
      </c>
    </row>
    <row r="7" spans="1:9" x14ac:dyDescent="0.25">
      <c r="A7" s="2" t="s">
        <v>5</v>
      </c>
      <c r="B7" s="2" t="str">
        <f t="shared" si="0"/>
        <v>P-M-G-GG-EG</v>
      </c>
      <c r="C7" s="1" t="s">
        <v>25</v>
      </c>
      <c r="D7" s="1" t="s">
        <v>24</v>
      </c>
      <c r="E7" s="1" t="s">
        <v>26</v>
      </c>
      <c r="F7" s="1" t="s">
        <v>27</v>
      </c>
      <c r="G7" s="1" t="s">
        <v>28</v>
      </c>
    </row>
    <row r="8" spans="1:9" x14ac:dyDescent="0.25">
      <c r="A8" s="2" t="s">
        <v>8</v>
      </c>
      <c r="B8" s="2" t="str">
        <f t="shared" si="0"/>
        <v>P-M-G-GG-EG</v>
      </c>
      <c r="C8" s="1" t="s">
        <v>25</v>
      </c>
      <c r="D8" s="1" t="s">
        <v>24</v>
      </c>
      <c r="E8" s="1" t="s">
        <v>26</v>
      </c>
      <c r="F8" s="1" t="s">
        <v>27</v>
      </c>
      <c r="G8" s="1" t="s">
        <v>28</v>
      </c>
    </row>
    <row r="9" spans="1:9" x14ac:dyDescent="0.25">
      <c r="A9" s="2" t="s">
        <v>1</v>
      </c>
      <c r="B9" s="2" t="str">
        <f t="shared" si="0"/>
        <v>P-M-G-GG-EG</v>
      </c>
      <c r="C9" s="1" t="s">
        <v>25</v>
      </c>
      <c r="D9" s="1" t="s">
        <v>24</v>
      </c>
      <c r="E9" s="1" t="s">
        <v>26</v>
      </c>
      <c r="F9" s="1" t="s">
        <v>27</v>
      </c>
      <c r="G9" s="1" t="s">
        <v>28</v>
      </c>
    </row>
    <row r="10" spans="1:9" x14ac:dyDescent="0.25">
      <c r="A10" s="2" t="s">
        <v>3</v>
      </c>
      <c r="B10" s="2" t="str">
        <f t="shared" si="0"/>
        <v>85-90-95-100-105</v>
      </c>
      <c r="C10" s="1">
        <v>85</v>
      </c>
      <c r="D10" s="1">
        <v>90</v>
      </c>
      <c r="E10" s="1">
        <v>95</v>
      </c>
      <c r="F10" s="1">
        <v>100</v>
      </c>
      <c r="G10" s="1">
        <v>105</v>
      </c>
    </row>
    <row r="11" spans="1:9" x14ac:dyDescent="0.25">
      <c r="A11" s="2" t="s">
        <v>33</v>
      </c>
      <c r="B11" s="2" t="str">
        <f t="shared" si="0"/>
        <v>P-M-G-GG-EG</v>
      </c>
      <c r="C11" s="1" t="s">
        <v>25</v>
      </c>
      <c r="D11" s="1" t="s">
        <v>24</v>
      </c>
      <c r="E11" s="1" t="s">
        <v>26</v>
      </c>
      <c r="F11" s="1" t="s">
        <v>27</v>
      </c>
      <c r="G11" s="1" t="s">
        <v>28</v>
      </c>
    </row>
    <row r="12" spans="1:9" x14ac:dyDescent="0.25">
      <c r="A12" s="2" t="s">
        <v>2</v>
      </c>
      <c r="B12" s="2" t="str">
        <f t="shared" si="0"/>
        <v>38-40-42-44-46-48</v>
      </c>
      <c r="C12" s="1">
        <v>38</v>
      </c>
      <c r="D12" s="1">
        <v>40</v>
      </c>
      <c r="E12" s="1">
        <v>42</v>
      </c>
      <c r="F12" s="1">
        <v>44</v>
      </c>
      <c r="G12" s="1">
        <v>46</v>
      </c>
      <c r="H12" s="1">
        <v>48</v>
      </c>
    </row>
    <row r="13" spans="1:9" x14ac:dyDescent="0.25">
      <c r="A13" s="2" t="s">
        <v>13</v>
      </c>
      <c r="B13" s="2" t="str">
        <f t="shared" si="0"/>
        <v>38-40-42-44-46-48</v>
      </c>
      <c r="C13" s="1">
        <v>38</v>
      </c>
      <c r="D13" s="1">
        <v>40</v>
      </c>
      <c r="E13" s="1">
        <v>42</v>
      </c>
      <c r="F13" s="1">
        <v>44</v>
      </c>
      <c r="G13" s="1">
        <v>46</v>
      </c>
      <c r="H13" s="1">
        <v>48</v>
      </c>
    </row>
    <row r="14" spans="1:9" x14ac:dyDescent="0.25">
      <c r="A14" s="2" t="s">
        <v>7</v>
      </c>
      <c r="B14" s="2" t="str">
        <f t="shared" si="0"/>
        <v>38-39-40-41-42-43</v>
      </c>
      <c r="C14" s="1">
        <v>38</v>
      </c>
      <c r="D14" s="1">
        <v>39</v>
      </c>
      <c r="E14" s="1">
        <v>40</v>
      </c>
      <c r="F14" s="1">
        <v>41</v>
      </c>
      <c r="G14" s="1">
        <v>42</v>
      </c>
      <c r="H14" s="1">
        <v>43</v>
      </c>
    </row>
    <row r="15" spans="1:9" x14ac:dyDescent="0.25">
      <c r="A15" s="2" t="s">
        <v>11</v>
      </c>
      <c r="B15" s="2" t="str">
        <f t="shared" si="0"/>
        <v>38-39-40-41-43-45</v>
      </c>
      <c r="C15" s="1">
        <v>38</v>
      </c>
      <c r="D15" s="1">
        <v>39</v>
      </c>
      <c r="E15" s="1">
        <v>40</v>
      </c>
      <c r="F15" s="1">
        <v>41</v>
      </c>
      <c r="G15" s="1">
        <v>43</v>
      </c>
      <c r="H15" s="1">
        <v>45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1BA7D-C274-4819-BE32-1C13A6E57E20}">
  <sheetPr codeName="Planilha5"/>
  <dimension ref="A1:A391"/>
  <sheetViews>
    <sheetView workbookViewId="0">
      <selection activeCell="A2" sqref="A2:A14"/>
    </sheetView>
  </sheetViews>
  <sheetFormatPr defaultColWidth="7.140625" defaultRowHeight="15" x14ac:dyDescent="0.25"/>
  <cols>
    <col min="1" max="1" width="15.42578125" style="2" bestFit="1" customWidth="1"/>
    <col min="2" max="2" width="5.42578125" style="1" bestFit="1" customWidth="1"/>
    <col min="3" max="3" width="4.7109375" style="1" bestFit="1" customWidth="1"/>
    <col min="4" max="4" width="10.140625" style="1" bestFit="1" customWidth="1"/>
    <col min="5" max="5" width="10" style="1" bestFit="1" customWidth="1"/>
    <col min="6" max="6" width="13.42578125" style="1" bestFit="1" customWidth="1"/>
    <col min="7" max="7" width="6.7109375" style="1" bestFit="1" customWidth="1"/>
    <col min="8" max="8" width="7.42578125" style="1" bestFit="1" customWidth="1"/>
    <col min="9" max="9" width="4.7109375" style="1" bestFit="1" customWidth="1"/>
    <col min="10" max="10" width="6" style="1" bestFit="1" customWidth="1"/>
    <col min="11" max="11" width="9.42578125" style="1" bestFit="1" customWidth="1"/>
    <col min="12" max="12" width="8.140625" style="1" bestFit="1" customWidth="1"/>
    <col min="13" max="13" width="8.28515625" style="1" bestFit="1" customWidth="1"/>
    <col min="14" max="14" width="5.5703125" style="1" bestFit="1" customWidth="1"/>
    <col min="15" max="15" width="10.5703125" style="1" bestFit="1" customWidth="1"/>
    <col min="16" max="16" width="7" style="1" bestFit="1" customWidth="1"/>
    <col min="17" max="17" width="7.28515625" style="1" bestFit="1" customWidth="1"/>
    <col min="18" max="18" width="10.85546875" style="1" bestFit="1" customWidth="1"/>
    <col min="19" max="19" width="12" style="1" bestFit="1" customWidth="1"/>
    <col min="20" max="20" width="7.42578125" style="1" bestFit="1" customWidth="1"/>
    <col min="21" max="21" width="4.85546875" style="1" bestFit="1" customWidth="1"/>
    <col min="22" max="22" width="8.7109375" style="1" bestFit="1" customWidth="1"/>
    <col min="23" max="23" width="8.42578125" style="1" bestFit="1" customWidth="1"/>
    <col min="24" max="24" width="9.5703125" style="1" bestFit="1" customWidth="1"/>
    <col min="25" max="25" width="4.7109375" style="1" bestFit="1" customWidth="1"/>
    <col min="26" max="26" width="6" style="1" bestFit="1" customWidth="1"/>
    <col min="27" max="27" width="7.7109375" style="1" bestFit="1" customWidth="1"/>
    <col min="28" max="28" width="5.140625" style="1" bestFit="1" customWidth="1"/>
    <col min="29" max="29" width="10.5703125" style="1" bestFit="1" customWidth="1"/>
    <col min="30" max="31" width="5.5703125" style="1" bestFit="1" customWidth="1"/>
    <col min="32" max="32" width="9.140625" style="1" bestFit="1" customWidth="1"/>
    <col min="33" max="34" width="5.85546875" style="1" bestFit="1" customWidth="1"/>
    <col min="35" max="35" width="11.28515625" style="1" bestFit="1" customWidth="1"/>
    <col min="36" max="36" width="12.42578125" style="1" bestFit="1" customWidth="1"/>
    <col min="37" max="37" width="10.5703125" style="1" bestFit="1" customWidth="1"/>
    <col min="38" max="38" width="9.42578125" style="1" bestFit="1" customWidth="1"/>
    <col min="39" max="39" width="6.140625" style="1" bestFit="1" customWidth="1"/>
    <col min="40" max="16384" width="7.140625" style="1"/>
  </cols>
  <sheetData>
    <row r="1" spans="1:1" x14ac:dyDescent="0.25">
      <c r="A1" s="2" t="s">
        <v>30</v>
      </c>
    </row>
    <row r="2" spans="1:1" x14ac:dyDescent="0.25">
      <c r="A2" s="33" t="s">
        <v>15</v>
      </c>
    </row>
    <row r="3" spans="1:1" x14ac:dyDescent="0.25">
      <c r="A3" s="33" t="s">
        <v>56</v>
      </c>
    </row>
    <row r="4" spans="1:1" x14ac:dyDescent="0.25">
      <c r="A4" s="33" t="s">
        <v>17</v>
      </c>
    </row>
    <row r="5" spans="1:1" x14ac:dyDescent="0.25">
      <c r="A5" s="33" t="s">
        <v>19</v>
      </c>
    </row>
    <row r="6" spans="1:1" x14ac:dyDescent="0.25">
      <c r="A6" s="33" t="s">
        <v>20</v>
      </c>
    </row>
    <row r="7" spans="1:1" x14ac:dyDescent="0.25">
      <c r="A7" s="33" t="s">
        <v>57</v>
      </c>
    </row>
    <row r="8" spans="1:1" x14ac:dyDescent="0.25">
      <c r="A8" s="33" t="s">
        <v>55</v>
      </c>
    </row>
    <row r="9" spans="1:1" x14ac:dyDescent="0.25">
      <c r="A9" s="33" t="s">
        <v>21</v>
      </c>
    </row>
    <row r="10" spans="1:1" x14ac:dyDescent="0.25">
      <c r="A10" s="33" t="s">
        <v>23</v>
      </c>
    </row>
    <row r="11" spans="1:1" x14ac:dyDescent="0.25">
      <c r="A11" s="33" t="s">
        <v>16</v>
      </c>
    </row>
    <row r="12" spans="1:1" x14ac:dyDescent="0.25">
      <c r="A12" s="33" t="s">
        <v>22</v>
      </c>
    </row>
    <row r="13" spans="1:1" x14ac:dyDescent="0.25">
      <c r="A13" s="33" t="s">
        <v>18</v>
      </c>
    </row>
    <row r="14" spans="1:1" x14ac:dyDescent="0.25">
      <c r="A14" s="33" t="s">
        <v>14</v>
      </c>
    </row>
    <row r="15" spans="1:1" x14ac:dyDescent="0.25">
      <c r="A15"/>
    </row>
    <row r="16" spans="1:1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</sheetData>
  <sortState xmlns:xlrd2="http://schemas.microsoft.com/office/spreadsheetml/2017/richdata2" ref="A2:A391">
    <sortCondition ref="A2:A391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RELATORIO</vt:lpstr>
      <vt:lpstr>TAM</vt:lpstr>
      <vt:lpstr>RF_DEST</vt:lpstr>
      <vt:lpstr>Planilha1</vt:lpstr>
      <vt:lpstr>Tamanhos</vt:lpstr>
      <vt:lpstr>Cores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Listagem do Relatório de Inventário</dc:title>
  <dc:creator>Pablo Santos</dc:creator>
  <cp:lastModifiedBy>Pablo Santos</cp:lastModifiedBy>
  <cp:lastPrinted>2024-05-23T20:26:34Z</cp:lastPrinted>
  <dcterms:created xsi:type="dcterms:W3CDTF">2024-05-20T18:34:00Z</dcterms:created>
  <dcterms:modified xsi:type="dcterms:W3CDTF">2024-07-30T21:59:41Z</dcterms:modified>
</cp:coreProperties>
</file>